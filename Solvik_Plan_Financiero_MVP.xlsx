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7" autoFilterDateGrouping="1"/>
  </bookViews>
  <sheets>
    <sheet name="CAPEX" sheetId="1" state="visible" r:id="rId1"/>
    <sheet name="OPEX" sheetId="2" state="visible" r:id="rId2"/>
    <sheet name="Costeo y análisis de rent." sheetId="3" state="visible" r:id="rId3"/>
    <sheet name="Unidades Económicas" sheetId="4" state="visible" r:id="rId4"/>
    <sheet name="Resumen operativo" sheetId="5" state="visible" r:id="rId5"/>
    <sheet name="Proyección financiera Insumos" sheetId="6" state="visible" r:id="rId6"/>
    <sheet name="Proyección financiera" sheetId="7" state="visible" r:id="rId7"/>
    <sheet name="Valuación de la empres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_-&quot;$&quot;* #,##0.00_-;\-&quot;$&quot;* #,##0.00_-;_-&quot;$&quot;* &quot;-&quot;??_-;_-@"/>
    <numFmt numFmtId="165" formatCode="_-* #,##0.00_-;\-* #,##0.00_-;_-* &quot;-&quot;??_-;_-@"/>
    <numFmt numFmtId="166" formatCode="&quot;$&quot;#,##0"/>
    <numFmt numFmtId="167" formatCode="_-* #,##0_-;\-* #,##0_-;_-* &quot;-&quot;??_-;_-@"/>
    <numFmt numFmtId="168" formatCode="_-&quot;$&quot;* #,##0.00_-;\-&quot;$&quot;* #,##0.00_-;_-&quot;$&quot;* &quot;-&quot;??_-;_-@_-"/>
    <numFmt numFmtId="169" formatCode="_-* #,##0.00_-;\-* #,##0.00_-;_-* &quot;-&quot;??_-;_-@_-"/>
  </numFmts>
  <fonts count="31">
    <font>
      <name val="Calibri"/>
      <color theme="1"/>
      <sz val="11"/>
      <scheme val="minor"/>
    </font>
    <font>
      <name val="Century Gothic"/>
      <family val="2"/>
      <color theme="1"/>
      <sz val="11"/>
    </font>
    <font>
      <name val="Century Gothic"/>
      <family val="2"/>
      <b val="1"/>
      <color theme="0"/>
      <sz val="22"/>
    </font>
    <font>
      <name val="Calibri"/>
      <family val="2"/>
      <sz val="11"/>
    </font>
    <font>
      <name val="Century Gothic"/>
      <family val="2"/>
      <b val="1"/>
      <color theme="1"/>
      <sz val="22"/>
    </font>
    <font>
      <name val="Century Gothic"/>
      <family val="2"/>
      <color theme="10"/>
      <sz val="11"/>
      <u val="single"/>
    </font>
    <font>
      <name val="Century Gothic"/>
      <family val="2"/>
      <b val="1"/>
      <color theme="1"/>
      <sz val="11"/>
    </font>
    <font>
      <name val="Century Gothic"/>
      <family val="2"/>
      <b val="1"/>
      <color theme="0"/>
      <sz val="11"/>
    </font>
    <font>
      <name val="Arial"/>
      <family val="2"/>
      <b val="1"/>
      <color theme="0"/>
      <sz val="10"/>
    </font>
    <font>
      <name val="Calibri"/>
      <family val="2"/>
      <color theme="1"/>
      <sz val="11"/>
    </font>
    <font>
      <name val="Arial"/>
      <family val="2"/>
      <b val="1"/>
      <color theme="1"/>
      <sz val="10"/>
    </font>
    <font>
      <name val="Century Gothic"/>
      <family val="2"/>
      <b val="1"/>
      <color theme="1"/>
      <sz val="10"/>
    </font>
    <font>
      <name val="Century Gothic"/>
      <family val="2"/>
      <color theme="1"/>
      <sz val="10"/>
    </font>
    <font>
      <name val="Century Gothic"/>
      <family val="2"/>
      <i val="1"/>
      <color theme="1"/>
      <sz val="10"/>
    </font>
    <font>
      <name val="Calibri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entury Gothic"/>
      <family val="2"/>
      <color theme="0"/>
      <sz val="11"/>
    </font>
    <font>
      <name val="Century Gothic"/>
      <family val="2"/>
      <b val="1"/>
      <color theme="1"/>
      <sz val="11"/>
    </font>
    <font>
      <name val="Century Gothic"/>
      <family val="2"/>
      <b val="1"/>
      <color theme="0"/>
      <sz val="11"/>
    </font>
    <font>
      <name val="Calibri"/>
      <family val="2"/>
      <color theme="0"/>
      <sz val="11"/>
    </font>
    <font>
      <name val="Century Gothic"/>
      <family val="2"/>
      <color theme="1"/>
      <sz val="11"/>
    </font>
    <font>
      <name val="Century Gothic"/>
      <family val="2"/>
      <b val="1"/>
      <color theme="0"/>
      <sz val="9"/>
    </font>
    <font>
      <name val="Century Gothic"/>
      <family val="2"/>
      <b val="1"/>
      <color theme="0"/>
      <sz val="8"/>
    </font>
    <font>
      <name val="Century Gothic"/>
      <family val="2"/>
      <b val="1"/>
      <color theme="0"/>
      <sz val="12"/>
    </font>
    <font>
      <name val="Century Gothic"/>
      <family val="2"/>
      <b val="1"/>
      <color theme="0"/>
      <sz val="14"/>
    </font>
    <font>
      <name val="Calibri"/>
      <family val="2"/>
      <sz val="8"/>
      <scheme val="minor"/>
    </font>
    <font>
      <name val="Century Gothic"/>
      <family val="2"/>
      <b val="1"/>
      <color theme="1"/>
      <sz val="9"/>
    </font>
    <font>
      <name val="Calibri"/>
      <family val="2"/>
      <color theme="1"/>
      <sz val="11"/>
      <scheme val="minor"/>
    </font>
    <font>
      <name val="Century Gothic"/>
      <family val="2"/>
      <b val="1"/>
      <i val="1"/>
      <color theme="1"/>
      <sz val="11"/>
    </font>
    <font>
      <b val="1"/>
    </font>
  </fonts>
  <fills count="18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6AAE4"/>
        <bgColor rgb="FF96AAE4"/>
      </patternFill>
    </fill>
    <fill>
      <patternFill patternType="solid">
        <fgColor rgb="FFDADADA"/>
        <bgColor rgb="FFDADADA"/>
      </patternFill>
    </fill>
    <fill>
      <patternFill patternType="solid">
        <fgColor rgb="FFCACAE6"/>
        <bgColor rgb="FFCACAE6"/>
      </patternFill>
    </fill>
    <fill>
      <patternFill patternType="solid">
        <fgColor rgb="FFF4B083"/>
        <bgColor rgb="FFF4B083"/>
      </patternFill>
    </fill>
    <fill>
      <patternFill patternType="solid">
        <fgColor theme="0"/>
        <bgColor theme="0"/>
      </patternFill>
    </fill>
    <fill>
      <patternFill patternType="solid">
        <fgColor rgb="FFB4C6E7"/>
        <bgColor rgb="FFB4C6E7"/>
      </patternFill>
    </fill>
    <fill>
      <patternFill patternType="solid">
        <fgColor rgb="FFE7E6E6"/>
        <bgColor rgb="FFE7E6E6"/>
      </patternFill>
    </fill>
    <fill>
      <patternFill patternType="solid">
        <fgColor rgb="FFECECEC"/>
        <bgColor rgb="FFECECEC"/>
      </patternFill>
    </fill>
    <fill>
      <patternFill patternType="solid">
        <fgColor rgb="FFC0C0C0"/>
        <bgColor rgb="FFC0C0C0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FEF2CB"/>
        <bgColor rgb="FFFEF2CB"/>
      </patternFill>
    </fill>
    <fill>
      <patternFill patternType="solid">
        <fgColor rgb="FFA8D08D"/>
        <bgColor rgb="FFA8D08D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2"/>
        <bgColor rgb="FFF4B083"/>
      </patternFill>
    </fill>
  </fills>
  <borders count="77">
    <border>
      <left/>
      <right/>
      <top/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double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4">
    <xf numFmtId="0" fontId="0" fillId="0" borderId="20"/>
    <xf numFmtId="9" fontId="28" fillId="0" borderId="20"/>
    <xf numFmtId="43" fontId="28" fillId="0" borderId="20"/>
    <xf numFmtId="44" fontId="28" fillId="0" borderId="20"/>
  </cellStyleXfs>
  <cellXfs count="27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1" fillId="3" borderId="7" pivotButton="0" quotePrefix="0" xfId="0"/>
    <xf numFmtId="164" fontId="1" fillId="0" borderId="7" pivotButton="0" quotePrefix="0" xfId="0"/>
    <xf numFmtId="0" fontId="1" fillId="4" borderId="7" pivotButton="0" quotePrefix="0" xfId="0"/>
    <xf numFmtId="0" fontId="5" fillId="0" borderId="0" pivotButton="0" quotePrefix="0" xfId="0"/>
    <xf numFmtId="0" fontId="6" fillId="5" borderId="7" applyAlignment="1" pivotButton="0" quotePrefix="0" xfId="0">
      <alignment horizontal="center"/>
    </xf>
    <xf numFmtId="0" fontId="6" fillId="5" borderId="7" applyAlignment="1" pivotButton="0" quotePrefix="0" xfId="0">
      <alignment horizontal="center" wrapText="1"/>
    </xf>
    <xf numFmtId="0" fontId="1" fillId="0" borderId="7" pivotButton="0" quotePrefix="0" xfId="0"/>
    <xf numFmtId="0" fontId="1" fillId="0" borderId="7" applyAlignment="1" pivotButton="0" quotePrefix="0" xfId="0">
      <alignment horizontal="center"/>
    </xf>
    <xf numFmtId="0" fontId="1" fillId="0" borderId="11" pivotButton="0" quotePrefix="0" xfId="0"/>
    <xf numFmtId="164" fontId="1" fillId="0" borderId="12" pivotButton="0" quotePrefix="0" xfId="0"/>
    <xf numFmtId="0" fontId="6" fillId="0" borderId="1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9" fontId="6" fillId="0" borderId="13" applyAlignment="1" pivotButton="0" quotePrefix="0" xfId="0">
      <alignment horizontal="center" vertical="center"/>
    </xf>
    <xf numFmtId="9" fontId="6" fillId="0" borderId="16" applyAlignment="1" pivotButton="0" quotePrefix="0" xfId="0">
      <alignment horizontal="center" vertical="center"/>
    </xf>
    <xf numFmtId="9" fontId="6" fillId="0" borderId="14" applyAlignment="1" pivotButton="0" quotePrefix="0" xfId="0">
      <alignment horizontal="center" vertical="center"/>
    </xf>
    <xf numFmtId="9" fontId="6" fillId="0" borderId="13" applyAlignment="1" pivotButton="0" quotePrefix="0" xfId="0">
      <alignment horizontal="center" vertical="center" wrapText="1"/>
    </xf>
    <xf numFmtId="164" fontId="1" fillId="6" borderId="17" pivotButton="0" quotePrefix="0" xfId="0"/>
    <xf numFmtId="164" fontId="1" fillId="7" borderId="17" pivotButton="0" quotePrefix="0" xfId="0"/>
    <xf numFmtId="9" fontId="6" fillId="0" borderId="10" applyAlignment="1" pivotButton="0" quotePrefix="0" xfId="0">
      <alignment horizontal="center" vertical="center"/>
    </xf>
    <xf numFmtId="9" fontId="6" fillId="0" borderId="14" applyAlignment="1" pivotButton="0" quotePrefix="0" xfId="0">
      <alignment horizontal="center" vertical="center" wrapText="1"/>
    </xf>
    <xf numFmtId="164" fontId="1" fillId="6" borderId="18" pivotButton="0" quotePrefix="0" xfId="0"/>
    <xf numFmtId="164" fontId="1" fillId="7" borderId="18" pivotButton="0" quotePrefix="0" xfId="0"/>
    <xf numFmtId="164" fontId="1" fillId="8" borderId="18" pivotButton="0" quotePrefix="0" xfId="0"/>
    <xf numFmtId="164" fontId="1" fillId="8" borderId="19" pivotButton="0" quotePrefix="0" xfId="0"/>
    <xf numFmtId="164" fontId="1" fillId="6" borderId="20" pivotButton="0" quotePrefix="0" xfId="0"/>
    <xf numFmtId="0" fontId="1" fillId="0" borderId="8" pivotButton="0" quotePrefix="0" xfId="0"/>
    <xf numFmtId="0" fontId="1" fillId="0" borderId="23" pivotButton="0" quotePrefix="0" xfId="0"/>
    <xf numFmtId="164" fontId="1" fillId="0" borderId="0" pivotButton="0" quotePrefix="0" xfId="0"/>
    <xf numFmtId="164" fontId="1" fillId="0" borderId="13" pivotButton="0" quotePrefix="0" xfId="0"/>
    <xf numFmtId="164" fontId="1" fillId="0" borderId="15" pivotButton="0" quotePrefix="0" xfId="0"/>
    <xf numFmtId="0" fontId="6" fillId="5" borderId="25" pivotButton="0" quotePrefix="0" xfId="0"/>
    <xf numFmtId="164" fontId="6" fillId="5" borderId="14" pivotButton="0" quotePrefix="0" xfId="0"/>
    <xf numFmtId="165" fontId="1" fillId="0" borderId="15" pivotButton="0" quotePrefix="0" xfId="0"/>
    <xf numFmtId="164" fontId="1" fillId="5" borderId="14" pivotButton="0" quotePrefix="0" xfId="0"/>
    <xf numFmtId="0" fontId="1" fillId="7" borderId="26" pivotButton="0" quotePrefix="0" xfId="0"/>
    <xf numFmtId="0" fontId="1" fillId="7" borderId="17" pivotButton="0" quotePrefix="0" xfId="0"/>
    <xf numFmtId="0" fontId="8" fillId="2" borderId="29" applyAlignment="1" pivotButton="0" quotePrefix="0" xfId="0">
      <alignment horizontal="center"/>
    </xf>
    <xf numFmtId="0" fontId="8" fillId="2" borderId="30" applyAlignment="1" pivotButton="0" quotePrefix="0" xfId="0">
      <alignment horizontal="center"/>
    </xf>
    <xf numFmtId="0" fontId="8" fillId="2" borderId="30" applyAlignment="1" pivotButton="0" quotePrefix="0" xfId="0">
      <alignment horizontal="center" wrapText="1"/>
    </xf>
    <xf numFmtId="0" fontId="8" fillId="2" borderId="31" applyAlignment="1" pivotButton="0" quotePrefix="0" xfId="0">
      <alignment horizontal="center"/>
    </xf>
    <xf numFmtId="0" fontId="9" fillId="0" borderId="32" applyAlignment="1" pivotButton="0" quotePrefix="0" xfId="0">
      <alignment horizontal="center"/>
    </xf>
    <xf numFmtId="0" fontId="9" fillId="0" borderId="33" pivotButton="0" quotePrefix="0" xfId="0"/>
    <xf numFmtId="164" fontId="9" fillId="0" borderId="33" pivotButton="0" quotePrefix="0" xfId="0"/>
    <xf numFmtId="164" fontId="9" fillId="0" borderId="34" pivotButton="0" quotePrefix="0" xfId="0"/>
    <xf numFmtId="0" fontId="9" fillId="0" borderId="35" applyAlignment="1" pivotButton="0" quotePrefix="0" xfId="0">
      <alignment horizontal="center"/>
    </xf>
    <xf numFmtId="164" fontId="9" fillId="0" borderId="36" pivotButton="0" quotePrefix="0" xfId="0"/>
    <xf numFmtId="164" fontId="9" fillId="0" borderId="37" pivotButton="0" quotePrefix="0" xfId="0"/>
    <xf numFmtId="0" fontId="9" fillId="0" borderId="38" applyAlignment="1" pivotButton="0" quotePrefix="0" xfId="0">
      <alignment horizontal="center"/>
    </xf>
    <xf numFmtId="0" fontId="9" fillId="0" borderId="39" pivotButton="0" quotePrefix="0" xfId="0"/>
    <xf numFmtId="164" fontId="9" fillId="0" borderId="40" pivotButton="0" quotePrefix="0" xfId="0"/>
    <xf numFmtId="164" fontId="9" fillId="0" borderId="41" pivotButton="0" quotePrefix="0" xfId="0"/>
    <xf numFmtId="0" fontId="10" fillId="6" borderId="29" applyAlignment="1" pivotButton="0" quotePrefix="0" xfId="0">
      <alignment horizontal="center"/>
    </xf>
    <xf numFmtId="0" fontId="10" fillId="6" borderId="30" applyAlignment="1" pivotButton="0" quotePrefix="0" xfId="0">
      <alignment horizontal="center"/>
    </xf>
    <xf numFmtId="0" fontId="10" fillId="6" borderId="30" applyAlignment="1" pivotButton="0" quotePrefix="0" xfId="0">
      <alignment horizontal="center" wrapText="1"/>
    </xf>
    <xf numFmtId="0" fontId="10" fillId="6" borderId="31" applyAlignment="1" pivotButton="0" quotePrefix="0" xfId="0">
      <alignment horizontal="center"/>
    </xf>
    <xf numFmtId="0" fontId="9" fillId="0" borderId="42" applyAlignment="1" pivotButton="0" quotePrefix="0" xfId="0">
      <alignment horizontal="center"/>
    </xf>
    <xf numFmtId="0" fontId="9" fillId="0" borderId="43" pivotButton="0" quotePrefix="0" xfId="0"/>
    <xf numFmtId="3" fontId="9" fillId="0" borderId="43" pivotButton="0" quotePrefix="0" xfId="0"/>
    <xf numFmtId="165" fontId="9" fillId="10" borderId="44" pivotButton="0" quotePrefix="0" xfId="0"/>
    <xf numFmtId="165" fontId="9" fillId="10" borderId="43" pivotButton="0" quotePrefix="0" xfId="0"/>
    <xf numFmtId="3" fontId="9" fillId="0" borderId="36" pivotButton="0" quotePrefix="0" xfId="0"/>
    <xf numFmtId="3" fontId="9" fillId="0" borderId="33" pivotButton="0" quotePrefix="0" xfId="0"/>
    <xf numFmtId="165" fontId="9" fillId="0" borderId="33" pivotButton="0" quotePrefix="0" xfId="0"/>
    <xf numFmtId="165" fontId="9" fillId="10" borderId="37" pivotButton="0" quotePrefix="0" xfId="0"/>
    <xf numFmtId="165" fontId="9" fillId="10" borderId="36" pivotButton="0" quotePrefix="0" xfId="0"/>
    <xf numFmtId="165" fontId="9" fillId="0" borderId="36" pivotButton="0" quotePrefix="0" xfId="0"/>
    <xf numFmtId="3" fontId="9" fillId="0" borderId="40" pivotButton="0" quotePrefix="0" xfId="0"/>
    <xf numFmtId="165" fontId="9" fillId="0" borderId="40" pivotButton="0" quotePrefix="0" xfId="0"/>
    <xf numFmtId="165" fontId="9" fillId="10" borderId="41" pivotButton="0" quotePrefix="0" xfId="0"/>
    <xf numFmtId="165" fontId="9" fillId="10" borderId="40" pivotButton="0" quotePrefix="0" xfId="0"/>
    <xf numFmtId="165" fontId="9" fillId="0" borderId="0" pivotButton="0" quotePrefix="0" xfId="0"/>
    <xf numFmtId="165" fontId="9" fillId="0" borderId="45" pivotButton="0" quotePrefix="0" xfId="0"/>
    <xf numFmtId="165" fontId="10" fillId="0" borderId="46" applyAlignment="1" pivotButton="0" quotePrefix="0" xfId="0">
      <alignment horizontal="center"/>
    </xf>
    <xf numFmtId="165" fontId="9" fillId="0" borderId="46" pivotButton="0" quotePrefix="0" xfId="0"/>
    <xf numFmtId="165" fontId="9" fillId="10" borderId="47" pivotButton="0" quotePrefix="0" xfId="0"/>
    <xf numFmtId="165" fontId="9" fillId="10" borderId="46" pivotButton="0" quotePrefix="0" xfId="0"/>
    <xf numFmtId="0" fontId="9" fillId="0" borderId="32" pivotButton="0" quotePrefix="0" xfId="0"/>
    <xf numFmtId="164" fontId="9" fillId="9" borderId="48" pivotButton="0" quotePrefix="0" xfId="0"/>
    <xf numFmtId="0" fontId="9" fillId="0" borderId="35" pivotButton="0" quotePrefix="0" xfId="0"/>
    <xf numFmtId="0" fontId="9" fillId="0" borderId="49" pivotButton="0" quotePrefix="0" xfId="0"/>
    <xf numFmtId="164" fontId="9" fillId="9" borderId="50" pivotButton="0" quotePrefix="0" xfId="0"/>
    <xf numFmtId="0" fontId="9" fillId="0" borderId="45" pivotButton="0" quotePrefix="0" xfId="0"/>
    <xf numFmtId="0" fontId="10" fillId="0" borderId="46" applyAlignment="1" pivotButton="0" quotePrefix="0" xfId="0">
      <alignment horizontal="center"/>
    </xf>
    <xf numFmtId="164" fontId="9" fillId="0" borderId="46" pivotButton="0" quotePrefix="0" xfId="0"/>
    <xf numFmtId="164" fontId="9" fillId="9" borderId="47" pivotButton="0" quotePrefix="0" xfId="0"/>
    <xf numFmtId="2" fontId="9" fillId="0" borderId="33" pivotButton="0" quotePrefix="0" xfId="0"/>
    <xf numFmtId="166" fontId="9" fillId="0" borderId="46" pivotButton="0" quotePrefix="0" xfId="0"/>
    <xf numFmtId="166" fontId="9" fillId="9" borderId="47" pivotButton="0" quotePrefix="0" xfId="0"/>
    <xf numFmtId="165" fontId="10" fillId="6" borderId="29" applyAlignment="1" pivotButton="0" quotePrefix="0" xfId="0">
      <alignment horizontal="center"/>
    </xf>
    <xf numFmtId="165" fontId="10" fillId="6" borderId="30" applyAlignment="1" pivotButton="0" quotePrefix="0" xfId="0">
      <alignment horizontal="center"/>
    </xf>
    <xf numFmtId="165" fontId="10" fillId="6" borderId="30" applyAlignment="1" pivotButton="0" quotePrefix="0" xfId="0">
      <alignment horizontal="center" wrapText="1"/>
    </xf>
    <xf numFmtId="165" fontId="10" fillId="6" borderId="31" applyAlignment="1" pivotButton="0" quotePrefix="0" xfId="0">
      <alignment horizontal="center"/>
    </xf>
    <xf numFmtId="167" fontId="9" fillId="0" borderId="42" pivotButton="0" quotePrefix="0" xfId="0"/>
    <xf numFmtId="165" fontId="9" fillId="0" borderId="43" pivotButton="0" quotePrefix="0" xfId="0"/>
    <xf numFmtId="165" fontId="9" fillId="9" borderId="44" pivotButton="0" quotePrefix="0" xfId="0"/>
    <xf numFmtId="167" fontId="9" fillId="0" borderId="35" pivotButton="0" quotePrefix="0" xfId="0"/>
    <xf numFmtId="165" fontId="9" fillId="9" borderId="37" pivotButton="0" quotePrefix="0" xfId="0"/>
    <xf numFmtId="167" fontId="9" fillId="0" borderId="38" pivotButton="0" quotePrefix="0" xfId="0"/>
    <xf numFmtId="165" fontId="9" fillId="0" borderId="39" pivotButton="0" quotePrefix="0" xfId="0"/>
    <xf numFmtId="165" fontId="9" fillId="9" borderId="41" pivotButton="0" quotePrefix="0" xfId="0"/>
    <xf numFmtId="165" fontId="9" fillId="9" borderId="47" pivotButton="0" quotePrefix="0" xfId="0"/>
    <xf numFmtId="167" fontId="9" fillId="0" borderId="42" applyAlignment="1" pivotButton="0" quotePrefix="0" xfId="0">
      <alignment horizontal="center"/>
    </xf>
    <xf numFmtId="167" fontId="9" fillId="0" borderId="35" applyAlignment="1" pivotButton="0" quotePrefix="0" xfId="0">
      <alignment horizontal="center"/>
    </xf>
    <xf numFmtId="167" fontId="9" fillId="0" borderId="38" applyAlignment="1" pivotButton="0" quotePrefix="0" xfId="0">
      <alignment horizontal="center"/>
    </xf>
    <xf numFmtId="0" fontId="11" fillId="11" borderId="30" applyAlignment="1" pivotButton="0" quotePrefix="0" xfId="0">
      <alignment horizontal="center"/>
    </xf>
    <xf numFmtId="0" fontId="11" fillId="11" borderId="30" applyAlignment="1" pivotButton="0" quotePrefix="0" xfId="0">
      <alignment horizontal="center" wrapText="1"/>
    </xf>
    <xf numFmtId="0" fontId="11" fillId="11" borderId="31" applyAlignment="1" pivotButton="0" quotePrefix="0" xfId="0">
      <alignment horizontal="center"/>
    </xf>
    <xf numFmtId="0" fontId="6" fillId="0" borderId="0" pivotButton="0" quotePrefix="0" xfId="0"/>
    <xf numFmtId="0" fontId="6" fillId="12" borderId="20" pivotButton="0" quotePrefix="0" xfId="0"/>
    <xf numFmtId="164" fontId="6" fillId="12" borderId="20" pivotButton="0" quotePrefix="0" xfId="0"/>
    <xf numFmtId="164" fontId="1" fillId="9" borderId="20" pivotButton="0" quotePrefix="0" xfId="0"/>
    <xf numFmtId="0" fontId="12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right"/>
    </xf>
    <xf numFmtId="164" fontId="13" fillId="0" borderId="0" applyAlignment="1" pivotButton="0" quotePrefix="0" xfId="0">
      <alignment horizontal="right"/>
    </xf>
    <xf numFmtId="164" fontId="1" fillId="0" borderId="51" pivotButton="0" quotePrefix="0" xfId="0"/>
    <xf numFmtId="164" fontId="1" fillId="9" borderId="52" pivotButton="0" quotePrefix="0" xfId="0"/>
    <xf numFmtId="0" fontId="1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6" fillId="13" borderId="53" pivotButton="0" quotePrefix="0" xfId="0"/>
    <xf numFmtId="164" fontId="6" fillId="13" borderId="53" pivotButton="0" quotePrefix="0" xfId="0"/>
    <xf numFmtId="0" fontId="11" fillId="0" borderId="54" pivotButton="0" quotePrefix="0" xfId="0"/>
    <xf numFmtId="164" fontId="11" fillId="0" borderId="54" pivotButton="0" quotePrefix="0" xfId="0"/>
    <xf numFmtId="164" fontId="11" fillId="9" borderId="55" pivotButton="0" quotePrefix="0" xfId="0"/>
    <xf numFmtId="0" fontId="11" fillId="0" borderId="0" pivotButton="0" quotePrefix="0" xfId="0"/>
    <xf numFmtId="164" fontId="11" fillId="0" borderId="0" pivotButton="0" quotePrefix="0" xfId="0"/>
    <xf numFmtId="164" fontId="11" fillId="9" borderId="20" pivotButton="0" quotePrefix="0" xfId="0"/>
    <xf numFmtId="0" fontId="1" fillId="14" borderId="20" pivotButton="0" quotePrefix="0" xfId="0"/>
    <xf numFmtId="164" fontId="1" fillId="14" borderId="20" pivotButton="0" quotePrefix="0" xfId="0"/>
    <xf numFmtId="164" fontId="6" fillId="0" borderId="0" pivotButton="0" quotePrefix="0" xfId="0"/>
    <xf numFmtId="164" fontId="6" fillId="9" borderId="20" pivotButton="0" quotePrefix="0" xfId="0"/>
    <xf numFmtId="0" fontId="1" fillId="9" borderId="20" pivotButton="0" quotePrefix="0" xfId="0"/>
    <xf numFmtId="0" fontId="11" fillId="0" borderId="54" applyAlignment="1" pivotButton="0" quotePrefix="0" xfId="0">
      <alignment horizontal="left"/>
    </xf>
    <xf numFmtId="164" fontId="11" fillId="0" borderId="54" applyAlignment="1" pivotButton="0" quotePrefix="0" xfId="0">
      <alignment horizontal="center"/>
    </xf>
    <xf numFmtId="164" fontId="1" fillId="0" borderId="54" pivotButton="0" quotePrefix="0" xfId="0"/>
    <xf numFmtId="0" fontId="1" fillId="9" borderId="55" pivotButton="0" quotePrefix="0" xfId="0"/>
    <xf numFmtId="0" fontId="1" fillId="0" borderId="54" pivotButton="0" quotePrefix="0" xfId="0"/>
    <xf numFmtId="164" fontId="9" fillId="0" borderId="0" pivotButton="0" quotePrefix="0" xfId="0"/>
    <xf numFmtId="0" fontId="14" fillId="0" borderId="9" pivotButton="0" quotePrefix="0" xfId="0"/>
    <xf numFmtId="164" fontId="14" fillId="0" borderId="14" pivotButton="0" quotePrefix="0" xfId="0"/>
    <xf numFmtId="0" fontId="9" fillId="0" borderId="23" applyAlignment="1" pivotButton="0" quotePrefix="0" xfId="0">
      <alignment horizontal="right"/>
    </xf>
    <xf numFmtId="164" fontId="9" fillId="5" borderId="18" pivotButton="0" quotePrefix="0" xfId="0"/>
    <xf numFmtId="9" fontId="9" fillId="0" borderId="14" pivotButton="0" quotePrefix="0" xfId="0"/>
    <xf numFmtId="0" fontId="14" fillId="0" borderId="0" pivotButton="0" quotePrefix="0" xfId="0"/>
    <xf numFmtId="9" fontId="9" fillId="0" borderId="0" pivotButton="0" quotePrefix="0" xfId="0"/>
    <xf numFmtId="0" fontId="9" fillId="0" borderId="0" applyAlignment="1" pivotButton="0" quotePrefix="0" xfId="0">
      <alignment horizontal="center"/>
    </xf>
    <xf numFmtId="0" fontId="9" fillId="0" borderId="13" pivotButton="0" quotePrefix="0" xfId="0"/>
    <xf numFmtId="164" fontId="9" fillId="0" borderId="8" pivotButton="0" quotePrefix="0" xfId="0"/>
    <xf numFmtId="164" fontId="9" fillId="0" borderId="13" pivotButton="0" quotePrefix="0" xfId="0"/>
    <xf numFmtId="0" fontId="9" fillId="0" borderId="15" pivotButton="0" quotePrefix="0" xfId="0"/>
    <xf numFmtId="164" fontId="9" fillId="0" borderId="11" pivotButton="0" quotePrefix="0" xfId="0"/>
    <xf numFmtId="164" fontId="9" fillId="0" borderId="12" pivotButton="0" quotePrefix="0" xfId="0"/>
    <xf numFmtId="0" fontId="9" fillId="0" borderId="12" pivotButton="0" quotePrefix="0" xfId="0"/>
    <xf numFmtId="0" fontId="9" fillId="5" borderId="57" pivotButton="0" quotePrefix="0" xfId="0"/>
    <xf numFmtId="164" fontId="9" fillId="15" borderId="14" pivotButton="0" quotePrefix="0" xfId="0"/>
    <xf numFmtId="0" fontId="9" fillId="5" borderId="25" pivotButton="0" quotePrefix="0" xfId="0"/>
    <xf numFmtId="0" fontId="9" fillId="5" borderId="56" pivotButton="0" quotePrefix="0" xfId="0"/>
    <xf numFmtId="0" fontId="9" fillId="5" borderId="24" pivotButton="0" quotePrefix="0" xfId="0"/>
    <xf numFmtId="0" fontId="9" fillId="0" borderId="14" pivotButton="0" quotePrefix="0" xfId="0"/>
    <xf numFmtId="0" fontId="1" fillId="0" borderId="59" pivotButton="0" quotePrefix="0" xfId="0"/>
    <xf numFmtId="164" fontId="1" fillId="0" borderId="59" pivotButton="0" quotePrefix="0" xfId="0"/>
    <xf numFmtId="0" fontId="1" fillId="5" borderId="58" applyAlignment="1" pivotButton="0" quotePrefix="0" xfId="0">
      <alignment horizontal="center"/>
    </xf>
    <xf numFmtId="0" fontId="18" fillId="0" borderId="58" pivotButton="0" quotePrefix="0" xfId="0"/>
    <xf numFmtId="164" fontId="18" fillId="0" borderId="58" pivotButton="0" quotePrefix="0" xfId="0"/>
    <xf numFmtId="9" fontId="1" fillId="0" borderId="58" pivotButton="0" quotePrefix="0" xfId="1"/>
    <xf numFmtId="0" fontId="19" fillId="16" borderId="10" applyAlignment="1" pivotButton="0" quotePrefix="0" xfId="0">
      <alignment vertical="center"/>
    </xf>
    <xf numFmtId="0" fontId="19" fillId="16" borderId="14" applyAlignment="1" pivotButton="0" quotePrefix="0" xfId="0">
      <alignment horizontal="center" vertical="center" wrapText="1"/>
    </xf>
    <xf numFmtId="0" fontId="23" fillId="16" borderId="14" applyAlignment="1" pivotButton="0" quotePrefix="0" xfId="0">
      <alignment horizontal="center" vertical="center" wrapText="1"/>
    </xf>
    <xf numFmtId="0" fontId="23" fillId="16" borderId="10" applyAlignment="1" pivotButton="0" quotePrefix="0" xfId="0">
      <alignment horizontal="center" vertical="center" wrapText="1"/>
    </xf>
    <xf numFmtId="0" fontId="21" fillId="0" borderId="58" pivotButton="0" quotePrefix="0" xfId="0"/>
    <xf numFmtId="0" fontId="22" fillId="2" borderId="23" applyAlignment="1" pivotButton="0" quotePrefix="0" xfId="0">
      <alignment horizontal="center" vertical="center" wrapText="1"/>
    </xf>
    <xf numFmtId="0" fontId="22" fillId="2" borderId="20" applyAlignment="1" pivotButton="0" quotePrefix="0" xfId="0">
      <alignment horizontal="center" vertical="center" wrapText="1"/>
    </xf>
    <xf numFmtId="0" fontId="27" fillId="0" borderId="0" pivotButton="0" quotePrefix="0" xfId="0"/>
    <xf numFmtId="0" fontId="19" fillId="2" borderId="23" applyAlignment="1" pivotButton="0" quotePrefix="0" xfId="0">
      <alignment horizontal="center" vertical="center" wrapText="1"/>
    </xf>
    <xf numFmtId="0" fontId="19" fillId="16" borderId="61" applyAlignment="1" pivotButton="0" quotePrefix="0" xfId="0">
      <alignment horizontal="center"/>
    </xf>
    <xf numFmtId="0" fontId="14" fillId="0" borderId="57" applyAlignment="1" pivotButton="0" quotePrefix="0" xfId="0">
      <alignment horizontal="center"/>
    </xf>
    <xf numFmtId="0" fontId="14" fillId="0" borderId="12" applyAlignment="1" pivotButton="0" quotePrefix="0" xfId="0">
      <alignment horizontal="center"/>
    </xf>
    <xf numFmtId="0" fontId="14" fillId="0" borderId="28" applyAlignment="1" pivotButton="0" quotePrefix="0" xfId="0">
      <alignment horizontal="center"/>
    </xf>
    <xf numFmtId="0" fontId="6" fillId="0" borderId="58" pivotButton="0" quotePrefix="0" xfId="0"/>
    <xf numFmtId="164" fontId="6" fillId="0" borderId="58" pivotButton="0" quotePrefix="0" xfId="0"/>
    <xf numFmtId="0" fontId="29" fillId="0" borderId="59" pivotButton="0" quotePrefix="0" xfId="0"/>
    <xf numFmtId="164" fontId="29" fillId="0" borderId="59" pivotButton="0" quotePrefix="0" xfId="0"/>
    <xf numFmtId="168" fontId="6" fillId="0" borderId="14" pivotButton="0" quotePrefix="0" xfId="3"/>
    <xf numFmtId="169" fontId="1" fillId="0" borderId="12" pivotButton="0" quotePrefix="0" xfId="2"/>
    <xf numFmtId="169" fontId="1" fillId="0" borderId="22" pivotButton="0" quotePrefix="0" xfId="2"/>
    <xf numFmtId="169" fontId="1" fillId="0" borderId="11" pivotButton="0" quotePrefix="0" xfId="2"/>
    <xf numFmtId="169" fontId="6" fillId="0" borderId="14" pivotButton="0" quotePrefix="0" xfId="2"/>
    <xf numFmtId="9" fontId="6" fillId="0" borderId="14" pivotButton="0" quotePrefix="0" xfId="1"/>
    <xf numFmtId="0" fontId="14" fillId="0" borderId="12" pivotButton="0" quotePrefix="0" xfId="0"/>
    <xf numFmtId="9" fontId="9" fillId="17" borderId="62" applyAlignment="1" pivotButton="0" quotePrefix="0" xfId="1">
      <alignment horizontal="center"/>
    </xf>
    <xf numFmtId="0" fontId="2" fillId="2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5" pivotButton="0" quotePrefix="0" xfId="0"/>
    <xf numFmtId="0" fontId="3" fillId="0" borderId="6" pivotButton="0" quotePrefix="0" xfId="0"/>
    <xf numFmtId="0" fontId="17" fillId="16" borderId="0" applyAlignment="1" pivotButton="0" quotePrefix="0" xfId="0">
      <alignment horizontal="center"/>
    </xf>
    <xf numFmtId="0" fontId="7" fillId="2" borderId="58" applyAlignment="1" pivotButton="0" quotePrefix="0" xfId="0">
      <alignment horizontal="center" vertical="center"/>
    </xf>
    <xf numFmtId="0" fontId="3" fillId="0" borderId="58" pivotButton="0" quotePrefix="0" xfId="0"/>
    <xf numFmtId="0" fontId="7" fillId="2" borderId="58" applyAlignment="1" pivotButton="0" quotePrefix="0" xfId="0">
      <alignment horizontal="center" vertical="center" wrapText="1"/>
    </xf>
    <xf numFmtId="0" fontId="1" fillId="3" borderId="58" applyAlignment="1" pivotButton="0" quotePrefix="0" xfId="0">
      <alignment horizontal="center" vertical="center"/>
    </xf>
    <xf numFmtId="0" fontId="19" fillId="16" borderId="13" applyAlignment="1" pivotButton="0" quotePrefix="0" xfId="0">
      <alignment horizontal="center" vertical="center" textRotation="90"/>
    </xf>
    <xf numFmtId="0" fontId="20" fillId="16" borderId="15" pivotButton="0" quotePrefix="0" xfId="0"/>
    <xf numFmtId="0" fontId="20" fillId="16" borderId="12" pivotButton="0" quotePrefix="0" xfId="0"/>
    <xf numFmtId="164" fontId="1" fillId="9" borderId="21" applyAlignment="1" pivotButton="0" quotePrefix="0" xfId="0">
      <alignment horizontal="center"/>
    </xf>
    <xf numFmtId="0" fontId="3" fillId="0" borderId="15" pivotButton="0" quotePrefix="0" xfId="0"/>
    <xf numFmtId="0" fontId="3" fillId="0" borderId="12" pivotButton="0" quotePrefix="0" xfId="0"/>
    <xf numFmtId="164" fontId="21" fillId="0" borderId="58" applyAlignment="1" pivotButton="0" quotePrefix="0" xfId="0">
      <alignment horizontal="center"/>
    </xf>
    <xf numFmtId="0" fontId="25" fillId="2" borderId="23" applyAlignment="1" pivotButton="0" quotePrefix="0" xfId="0">
      <alignment horizontal="center" vertical="center" wrapText="1"/>
    </xf>
    <xf numFmtId="0" fontId="25" fillId="2" borderId="20" applyAlignment="1" pivotButton="0" quotePrefix="0" xfId="0">
      <alignment horizontal="center" vertical="center" wrapText="1"/>
    </xf>
    <xf numFmtId="0" fontId="25" fillId="2" borderId="27" applyAlignment="1" pivotButton="0" quotePrefix="0" xfId="0">
      <alignment horizontal="center" vertical="center" wrapText="1"/>
    </xf>
    <xf numFmtId="0" fontId="25" fillId="2" borderId="57" applyAlignment="1" pivotButton="0" quotePrefix="0" xfId="0">
      <alignment horizontal="center" vertical="center" wrapText="1"/>
    </xf>
    <xf numFmtId="0" fontId="24" fillId="2" borderId="23" applyAlignment="1" pivotButton="0" quotePrefix="0" xfId="0">
      <alignment horizontal="center" vertical="center" wrapText="1"/>
    </xf>
    <xf numFmtId="0" fontId="24" fillId="2" borderId="20" applyAlignment="1" pivotButton="0" quotePrefix="0" xfId="0">
      <alignment horizontal="center" vertical="center" wrapText="1"/>
    </xf>
    <xf numFmtId="0" fontId="24" fillId="2" borderId="27" applyAlignment="1" pivotButton="0" quotePrefix="0" xfId="0">
      <alignment horizontal="center" vertical="center" wrapText="1"/>
    </xf>
    <xf numFmtId="0" fontId="24" fillId="2" borderId="57" applyAlignment="1" pivotButton="0" quotePrefix="0" xfId="0">
      <alignment horizontal="center" vertical="center" wrapText="1"/>
    </xf>
    <xf numFmtId="164" fontId="19" fillId="16" borderId="60" applyAlignment="1" pivotButton="0" quotePrefix="0" xfId="0">
      <alignment horizontal="center"/>
    </xf>
    <xf numFmtId="164" fontId="19" fillId="16" borderId="20" applyAlignment="1" pivotButton="0" quotePrefix="0" xfId="0">
      <alignment horizontal="center"/>
    </xf>
    <xf numFmtId="0" fontId="19" fillId="16" borderId="58" applyAlignment="1" pivotButton="0" quotePrefix="0" xfId="0">
      <alignment horizontal="center"/>
    </xf>
    <xf numFmtId="0" fontId="9" fillId="6" borderId="63" applyAlignment="1" pivotButton="0" quotePrefix="0" xfId="0">
      <alignment horizontal="center"/>
    </xf>
    <xf numFmtId="0" fontId="3" fillId="0" borderId="64" pivotButton="0" quotePrefix="0" xfId="0"/>
    <xf numFmtId="0" fontId="2" fillId="2" borderId="6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30" fillId="5" borderId="76" applyAlignment="1" pivotButton="0" quotePrefix="0" xfId="0">
      <alignment horizontal="center"/>
    </xf>
    <xf numFmtId="0" fontId="5" fillId="0" borderId="76" pivotButton="0" quotePrefix="0" xfId="0"/>
    <xf numFmtId="0" fontId="1" fillId="0" borderId="76" pivotButton="0" quotePrefix="0" xfId="0"/>
    <xf numFmtId="3" fontId="1" fillId="0" borderId="76" pivotButton="0" quotePrefix="0" xfId="0"/>
    <xf numFmtId="0" fontId="1" fillId="0" borderId="76" applyAlignment="1" pivotButton="0" quotePrefix="0" xfId="0">
      <alignment horizontal="center"/>
    </xf>
    <xf numFmtId="0" fontId="17" fillId="16" borderId="20" applyAlignment="1" pivotButton="0" quotePrefix="0" xfId="0">
      <alignment horizontal="center"/>
    </xf>
    <xf numFmtId="9" fontId="1" fillId="0" borderId="76" pivotButton="0" quotePrefix="0" xfId="1"/>
    <xf numFmtId="0" fontId="0" fillId="0" borderId="69" pivotButton="0" quotePrefix="0" xfId="0"/>
    <xf numFmtId="0" fontId="0" fillId="0" borderId="73" pivotButton="0" quotePrefix="0" xfId="0"/>
    <xf numFmtId="0" fontId="0" fillId="0" borderId="74" pivotButton="0" quotePrefix="0" xfId="0"/>
    <xf numFmtId="0" fontId="0" fillId="0" borderId="71" pivotButton="0" quotePrefix="0" xfId="0"/>
    <xf numFmtId="0" fontId="0" fillId="0" borderId="72" pivotButton="0" quotePrefix="0" xfId="0"/>
    <xf numFmtId="0" fontId="1" fillId="3" borderId="76" applyAlignment="1" pivotButton="0" quotePrefix="0" xfId="0">
      <alignment horizontal="center" vertical="center"/>
    </xf>
    <xf numFmtId="0" fontId="19" fillId="16" borderId="14" applyAlignment="1" pivotButton="0" quotePrefix="0" xfId="0">
      <alignment horizontal="center" vertical="center" textRotation="90"/>
    </xf>
    <xf numFmtId="0" fontId="0" fillId="0" borderId="21" pivotButton="0" quotePrefix="0" xfId="0"/>
    <xf numFmtId="9" fontId="6" fillId="0" borderId="76" applyAlignment="1" pivotButton="0" quotePrefix="0" xfId="0">
      <alignment horizontal="center" vertical="center"/>
    </xf>
    <xf numFmtId="164" fontId="1" fillId="9" borderId="12" applyAlignment="1" pivotButton="0" quotePrefix="0" xfId="0">
      <alignment horizontal="center"/>
    </xf>
    <xf numFmtId="169" fontId="1" fillId="0" borderId="76" pivotButton="0" quotePrefix="0" xfId="2"/>
    <xf numFmtId="169" fontId="1" fillId="0" borderId="12" pivotButton="0" quotePrefix="0" xfId="2"/>
    <xf numFmtId="169" fontId="1" fillId="0" borderId="11" pivotButton="0" quotePrefix="0" xfId="2"/>
    <xf numFmtId="168" fontId="6" fillId="0" borderId="76" pivotButton="0" quotePrefix="0" xfId="3"/>
    <xf numFmtId="168" fontId="6" fillId="0" borderId="14" pivotButton="0" quotePrefix="0" xfId="3"/>
    <xf numFmtId="3" fontId="6" fillId="0" borderId="76" pivotButton="0" quotePrefix="0" xfId="3"/>
    <xf numFmtId="9" fontId="6" fillId="0" borderId="76" pivotButton="0" quotePrefix="0" xfId="1"/>
    <xf numFmtId="0" fontId="0" fillId="0" borderId="12" pivotButton="0" quotePrefix="0" xfId="0"/>
    <xf numFmtId="169" fontId="6" fillId="0" borderId="76" pivotButton="0" quotePrefix="0" xfId="2"/>
    <xf numFmtId="169" fontId="6" fillId="0" borderId="14" pivotButton="0" quotePrefix="0" xfId="2"/>
    <xf numFmtId="0" fontId="0" fillId="0" borderId="27" pivotButton="0" quotePrefix="0" xfId="0"/>
    <xf numFmtId="0" fontId="0" fillId="0" borderId="57" pivotButton="0" quotePrefix="0" xfId="0"/>
    <xf numFmtId="3" fontId="1" fillId="0" borderId="13" pivotButton="0" quotePrefix="0" xfId="0"/>
    <xf numFmtId="3" fontId="6" fillId="5" borderId="76" pivotButton="0" quotePrefix="0" xfId="0"/>
    <xf numFmtId="165" fontId="1" fillId="0" borderId="76" pivotButton="0" quotePrefix="0" xfId="0"/>
    <xf numFmtId="3" fontId="1" fillId="0" borderId="15" pivotButton="0" quotePrefix="0" xfId="0"/>
    <xf numFmtId="164" fontId="1" fillId="5" borderId="76" pivotButton="0" quotePrefix="0" xfId="0"/>
    <xf numFmtId="0" fontId="1" fillId="7" borderId="76" pivotButton="0" quotePrefix="0" xfId="0"/>
    <xf numFmtId="0" fontId="9" fillId="0" borderId="76" pivotButton="0" quotePrefix="0" xfId="0"/>
    <xf numFmtId="3" fontId="9" fillId="0" borderId="76" pivotButton="0" quotePrefix="0" xfId="0"/>
    <xf numFmtId="164" fontId="1" fillId="0" borderId="76" pivotButton="0" quotePrefix="0" xfId="0"/>
    <xf numFmtId="9" fontId="9" fillId="0" borderId="76" pivotButton="0" quotePrefix="0" xfId="0"/>
    <xf numFmtId="0" fontId="0" fillId="0" borderId="64" pivotButton="0" quotePrefix="0" xfId="0"/>
    <xf numFmtId="9" fontId="9" fillId="17" borderId="76" applyAlignment="1" pivotButton="0" quotePrefix="0" xfId="1">
      <alignment horizontal="center"/>
    </xf>
  </cellXfs>
  <cellStyles count="4">
    <cellStyle name="Normal" xfId="0" builtinId="0"/>
    <cellStyle name="Porcentaje" xfId="1" builtinId="5"/>
    <cellStyle name="Millares" xfId="2" builtinId="3"/>
    <cellStyle name="Moneda" xfId="3" builtinId="4"/>
  </cellStyles>
  <dxfs count="6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dof.gob.mx/nota_detalle.php?codigo=5264340&amp;fecha=15/08/2012" TargetMode="External" Id="rId1" /></Relationships>
</file>

<file path=xl/worksheets/sheet1.xml><?xml version="1.0" encoding="utf-8"?>
<worksheet xmlns="http://schemas.openxmlformats.org/spreadsheetml/2006/main">
  <sheetPr>
    <tabColor theme="9"/>
    <outlinePr summaryBelow="1" summaryRight="1"/>
    <pageSetUpPr/>
  </sheetPr>
  <dimension ref="A1:Z1000"/>
  <sheetViews>
    <sheetView showGridLines="0" workbookViewId="0">
      <selection activeCell="H12" sqref="H12"/>
    </sheetView>
  </sheetViews>
  <sheetFormatPr baseColWidth="10" defaultColWidth="14.453125" defaultRowHeight="15" customHeight="1"/>
  <cols>
    <col width="4.453125" customWidth="1" min="1" max="1"/>
    <col width="30.7265625" customWidth="1" min="2" max="2"/>
    <col width="14.1796875" customWidth="1" min="3" max="3"/>
    <col width="13" customWidth="1" min="4" max="5"/>
    <col width="19" customWidth="1" min="6" max="6"/>
    <col width="11.453125" customWidth="1" min="7" max="26"/>
  </cols>
  <sheetData>
    <row r="1" ht="14.2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" customHeight="1">
      <c r="A2" s="1" t="n"/>
      <c r="B2" s="224" t="inlineStr">
        <is>
          <t>CAPEX</t>
        </is>
      </c>
      <c r="C2" s="225" t="n"/>
      <c r="D2" s="225" t="n"/>
      <c r="E2" s="225" t="n"/>
      <c r="F2" s="226" t="n"/>
      <c r="G2" s="2" t="n"/>
      <c r="H2" s="2" t="n"/>
      <c r="I2" s="2" t="n"/>
      <c r="J2" s="2" t="n"/>
      <c r="K2" s="2" t="n"/>
      <c r="L2" s="2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5" customHeight="1">
      <c r="A3" s="1" t="n"/>
      <c r="B3" s="227" t="n"/>
      <c r="C3" s="228" t="n"/>
      <c r="D3" s="228" t="n"/>
      <c r="E3" s="228" t="n"/>
      <c r="F3" s="229" t="n"/>
      <c r="G3" s="2" t="n"/>
      <c r="H3" s="2" t="n"/>
      <c r="I3" s="2" t="n"/>
      <c r="J3" s="2" t="n"/>
      <c r="K3" s="2" t="n"/>
      <c r="L3" s="2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4.25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4.25" customHeight="1">
      <c r="A5" s="1" t="n"/>
      <c r="B5" s="3" t="inlineStr">
        <is>
          <t>Totales</t>
        </is>
      </c>
      <c r="C5" s="4">
        <f>+SUM(C7:C138)</f>
        <v/>
      </c>
      <c r="D5" s="5" t="n"/>
      <c r="E5" s="5" t="n"/>
      <c r="F5" s="4">
        <f>+SUM(F7:F138)</f>
        <v/>
      </c>
      <c r="G5" s="1" t="n"/>
      <c r="H5" s="6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47.25" customHeight="1">
      <c r="A6" s="1" t="n"/>
      <c r="B6" s="230" t="inlineStr">
        <is>
          <t>Conceptos</t>
        </is>
      </c>
      <c r="C6" s="8" t="inlineStr">
        <is>
          <t>Valor de adquisición (Sin IVA)</t>
        </is>
      </c>
      <c r="D6" s="8" t="inlineStr">
        <is>
          <t>Vida útil (años)</t>
        </is>
      </c>
      <c r="E6" s="8" t="inlineStr">
        <is>
          <t>Vida útil (meses)</t>
        </is>
      </c>
      <c r="F6" s="8" t="inlineStr">
        <is>
          <t>Amortización o depreciación ($)</t>
        </is>
      </c>
      <c r="G6" s="1" t="n"/>
      <c r="H6" s="231" t="inlineStr">
        <is>
          <t>Parámetros de vida útil — México (tasa máx. ISR art. 33-34)</t>
        </is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4.25" customHeight="1">
      <c r="A7" s="1" t="n"/>
      <c r="B7" s="232" t="inlineStr">
        <is>
          <t>[Vehículos] Camioneta/van de instalación (seminueva)</t>
        </is>
      </c>
      <c r="C7" s="233" t="n">
        <v>420000</v>
      </c>
      <c r="D7" s="234" t="n">
        <v>4</v>
      </c>
      <c r="E7" s="234">
        <f>+D7*12</f>
        <v/>
      </c>
      <c r="F7" s="233">
        <f>+IF(E7&gt;0,C7/E7,0)</f>
        <v/>
      </c>
      <c r="G7" s="1" t="n"/>
      <c r="H7" s="232" t="inlineStr">
        <is>
          <t>Construcciones / adecuaciones</t>
        </is>
      </c>
      <c r="I7" s="232" t="inlineStr">
        <is>
          <t>5% · 20 años</t>
        </is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4.25" customHeight="1">
      <c r="A8" s="1" t="n"/>
      <c r="B8" s="232" t="inlineStr">
        <is>
          <t>[Vehículos] Remolque para transporte de paneles</t>
        </is>
      </c>
      <c r="C8" s="233" t="n">
        <v>60000</v>
      </c>
      <c r="D8" s="234" t="n">
        <v>5</v>
      </c>
      <c r="E8" s="234">
        <f>+D8*12</f>
        <v/>
      </c>
      <c r="F8" s="233">
        <f>+IF(E8&gt;0,C8/E8,0)</f>
        <v/>
      </c>
      <c r="G8" s="1" t="n"/>
      <c r="H8" s="232" t="inlineStr">
        <is>
          <t>Mobiliario y equipo de oficina</t>
        </is>
      </c>
      <c r="I8" s="232" t="inlineStr">
        <is>
          <t>10% · 10 años</t>
        </is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4.25" customHeight="1">
      <c r="A9" s="1" t="n"/>
      <c r="B9" s="232" t="inlineStr">
        <is>
          <t>[Herramienta] Kit de herramienta eléctrica (taladros, rotomartillo)</t>
        </is>
      </c>
      <c r="C9" s="233" t="n">
        <v>45000</v>
      </c>
      <c r="D9" s="234" t="n">
        <v>4</v>
      </c>
      <c r="E9" s="234">
        <f>+D9*12</f>
        <v/>
      </c>
      <c r="F9" s="233">
        <f>+IF(E9&gt;0,C9/E9,0)</f>
        <v/>
      </c>
      <c r="G9" s="1" t="n"/>
      <c r="H9" s="232" t="inlineStr">
        <is>
          <t>Equipo de cómputo</t>
        </is>
      </c>
      <c r="I9" s="232" t="inlineStr">
        <is>
          <t>30% · 3.3 años</t>
        </is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4.25" customHeight="1">
      <c r="A10" s="1" t="n"/>
      <c r="B10" s="232" t="inlineStr">
        <is>
          <t>[Herramienta] Herramienta manual e instrumentos de medición eléctrica</t>
        </is>
      </c>
      <c r="C10" s="233" t="n">
        <v>38000</v>
      </c>
      <c r="D10" s="234" t="n">
        <v>4</v>
      </c>
      <c r="E10" s="234">
        <f>+D10*12</f>
        <v/>
      </c>
      <c r="F10" s="233">
        <f>+IF(E10&gt;0,C10/E10,0)</f>
        <v/>
      </c>
      <c r="G10" s="1" t="n"/>
      <c r="H10" s="232" t="inlineStr">
        <is>
          <t>Automóviles y vehículos</t>
        </is>
      </c>
      <c r="I10" s="232" t="inlineStr">
        <is>
          <t>25% · 4 años</t>
        </is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4.25" customHeight="1">
      <c r="A11" s="1" t="n"/>
      <c r="B11" s="232" t="inlineStr">
        <is>
          <t>[Herramienta] Equipo de seguridad en altura (arneses, líneas de vida)</t>
        </is>
      </c>
      <c r="C11" s="233" t="n">
        <v>35000</v>
      </c>
      <c r="D11" s="234" t="n">
        <v>3</v>
      </c>
      <c r="E11" s="234">
        <f>+D11*12</f>
        <v/>
      </c>
      <c r="F11" s="233">
        <f>+IF(E11&gt;0,C11/E11,0)</f>
        <v/>
      </c>
      <c r="G11" s="1" t="n"/>
      <c r="H11" s="232" t="inlineStr">
        <is>
          <t>Maquinaria y equipo (general)</t>
        </is>
      </c>
      <c r="I11" s="232" t="inlineStr">
        <is>
          <t>10% · 10 años</t>
        </is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4.25" customHeight="1">
      <c r="A12" s="1" t="n"/>
      <c r="B12" s="232" t="inlineStr">
        <is>
          <t>[Herramienta] Andamios y escaleras</t>
        </is>
      </c>
      <c r="C12" s="233" t="n">
        <v>28000</v>
      </c>
      <c r="D12" s="234" t="n">
        <v>5</v>
      </c>
      <c r="E12" s="234">
        <f>+D12*12</f>
        <v/>
      </c>
      <c r="F12" s="233">
        <f>+IF(E12&gt;0,C12/E12,0)</f>
        <v/>
      </c>
      <c r="G12" s="1" t="n"/>
      <c r="H12" s="232" t="inlineStr">
        <is>
          <t>Herramienta, dados y troqueles</t>
        </is>
      </c>
      <c r="I12" s="232" t="inlineStr">
        <is>
          <t>35% · ≈3 años</t>
        </is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4.25" customHeight="1">
      <c r="A13" s="1" t="n"/>
      <c r="B13" s="232" t="inlineStr">
        <is>
          <t>[Herramienta] Estación de crimpado y conectorización solar (MC4)</t>
        </is>
      </c>
      <c r="C13" s="233" t="n">
        <v>18000</v>
      </c>
      <c r="D13" s="232" t="n">
        <v>5</v>
      </c>
      <c r="E13" s="232">
        <f>+D13*12</f>
        <v/>
      </c>
      <c r="F13" s="233">
        <f>+IF(E13&gt;0,C13/E13,0)</f>
        <v/>
      </c>
      <c r="G13" s="1" t="n"/>
      <c r="H13" s="232" t="inlineStr">
        <is>
          <t>Equipo de comunicación telefónica</t>
        </is>
      </c>
      <c r="I13" s="232" t="inlineStr">
        <is>
          <t>25% · 4 años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4.25" customHeight="1">
      <c r="A14" s="1" t="n"/>
      <c r="B14" s="232" t="inlineStr">
        <is>
          <t>[Cómputo] Laptops y equipo de diseño (4)</t>
        </is>
      </c>
      <c r="C14" s="233" t="n">
        <v>80000</v>
      </c>
      <c r="D14" s="232" t="n">
        <v>3</v>
      </c>
      <c r="E14" s="232">
        <f>+D14*12</f>
        <v/>
      </c>
      <c r="F14" s="233">
        <f>+IF(E14&gt;0,C14/E14,0)</f>
        <v/>
      </c>
      <c r="G14" s="1" t="n"/>
      <c r="H14" s="232" t="inlineStr">
        <is>
          <t>Gastos diferidos / intangibles</t>
        </is>
      </c>
      <c r="I14" s="232" t="inlineStr">
        <is>
          <t>15% · ≈6.7 años</t>
        </is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4.25" customHeight="1">
      <c r="A15" s="1" t="n"/>
      <c r="B15" s="232" t="inlineStr">
        <is>
          <t>[Cómputo] Servidor/NAS y sistema de respaldo</t>
        </is>
      </c>
      <c r="C15" s="233" t="n">
        <v>30000</v>
      </c>
      <c r="D15" s="234" t="n">
        <v>4</v>
      </c>
      <c r="E15" s="234">
        <f>+D15*12</f>
        <v/>
      </c>
      <c r="F15" s="233">
        <f>+IF(E15&gt;0,C15/E15,0)</f>
        <v/>
      </c>
      <c r="G15" s="1" t="n"/>
      <c r="H15" s="232" t="inlineStr">
        <is>
          <t>Gastos preoperativos</t>
        </is>
      </c>
      <c r="I15" s="232" t="inlineStr">
        <is>
          <t>10% · 10 años</t>
        </is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4.25" customHeight="1">
      <c r="A16" s="1" t="n"/>
      <c r="B16" s="232" t="inlineStr">
        <is>
          <t>[Cómputo] Smartphones y tablets de campo (3)</t>
        </is>
      </c>
      <c r="C16" s="233" t="n">
        <v>24000</v>
      </c>
      <c r="D16" s="232" t="n">
        <v>2</v>
      </c>
      <c r="E16" s="232">
        <f>+D16*12</f>
        <v/>
      </c>
      <c r="F16" s="233">
        <f>+IF(E16&gt;0,C16/E16,0)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4.25" customHeight="1">
      <c r="A17" s="1" t="n"/>
      <c r="B17" s="232" t="inlineStr">
        <is>
          <t>[Cómputo] Impresora/multifuncional</t>
        </is>
      </c>
      <c r="C17" s="233" t="n">
        <v>8000</v>
      </c>
      <c r="D17" s="232" t="n">
        <v>4</v>
      </c>
      <c r="E17" s="232">
        <f>+D17*12</f>
        <v/>
      </c>
      <c r="F17" s="233">
        <f>+IF(E17&gt;0,C17/E17,0)</f>
        <v/>
      </c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4.25" customHeight="1">
      <c r="A18" s="1" t="n"/>
      <c r="B18" s="232" t="inlineStr">
        <is>
          <t>[Mobiliario] Mobiliario de oficina (escritorios, sillas, salas)</t>
        </is>
      </c>
      <c r="C18" s="233" t="n">
        <v>55000</v>
      </c>
      <c r="D18" s="232" t="n">
        <v>10</v>
      </c>
      <c r="E18" s="232">
        <f>+D18*12</f>
        <v/>
      </c>
      <c r="F18" s="233">
        <f>+IF(E18&gt;0,C18/E18,0)</f>
        <v/>
      </c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4.25" customHeight="1">
      <c r="A19" s="1" t="n"/>
      <c r="B19" s="232" t="inlineStr">
        <is>
          <t>[Mobiliario] Anaqueles y racks de bodega</t>
        </is>
      </c>
      <c r="C19" s="233" t="n">
        <v>40000</v>
      </c>
      <c r="D19" s="232" t="n">
        <v>10</v>
      </c>
      <c r="E19" s="232">
        <f>+D19*12</f>
        <v/>
      </c>
      <c r="F19" s="233">
        <f>+IF(E19&gt;0,C19/E19,0)</f>
        <v/>
      </c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4.25" customHeight="1">
      <c r="A20" s="1" t="n"/>
      <c r="B20" s="232" t="inlineStr">
        <is>
          <t>[Mobiliario] Adecuación de bodega y oficina (obra menor)</t>
        </is>
      </c>
      <c r="C20" s="233" t="n">
        <v>70000</v>
      </c>
      <c r="D20" s="232" t="n">
        <v>5</v>
      </c>
      <c r="E20" s="232">
        <f>+D20*12</f>
        <v/>
      </c>
      <c r="F20" s="233">
        <f>+IF(E20&gt;0,C20/E20,0)</f>
        <v/>
      </c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4.25" customHeight="1">
      <c r="A21" s="1" t="n"/>
      <c r="B21" s="232" t="inlineStr">
        <is>
          <t>[Mobiliario] Clima / aire acondicionado</t>
        </is>
      </c>
      <c r="C21" s="233" t="n">
        <v>22000</v>
      </c>
      <c r="D21" s="232" t="n">
        <v>10</v>
      </c>
      <c r="E21" s="232">
        <f>+D21*12</f>
        <v/>
      </c>
      <c r="F21" s="233">
        <f>+IF(E21&gt;0,C21/E21,0)</f>
        <v/>
      </c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4.25" customHeight="1">
      <c r="A22" s="1" t="n"/>
      <c r="B22" s="232" t="inlineStr">
        <is>
          <t>[Demostración] Sistema demostrativo showroom (panel+inversor+batería)</t>
        </is>
      </c>
      <c r="C22" s="233" t="n">
        <v>50000</v>
      </c>
      <c r="D22" s="232" t="n">
        <v>5</v>
      </c>
      <c r="E22" s="232">
        <f>+D22*12</f>
        <v/>
      </c>
      <c r="F22" s="233">
        <f>+IF(E22&gt;0,C22/E22,0)</f>
        <v/>
      </c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4.25" customHeight="1">
      <c r="A23" s="1" t="n"/>
      <c r="B23" s="232" t="inlineStr">
        <is>
          <t>[Intangibles SW] Desarrollo App móvil iOS/Android (MVP)</t>
        </is>
      </c>
      <c r="C23" s="233" t="n">
        <v>360000</v>
      </c>
      <c r="D23" s="232" t="n">
        <v>3</v>
      </c>
      <c r="E23" s="232">
        <f>+D23*12</f>
        <v/>
      </c>
      <c r="F23" s="233">
        <f>+IF(E23&gt;0,C23/E23,0)</f>
        <v/>
      </c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4.25" customHeight="1">
      <c r="A24" s="1" t="n"/>
      <c r="B24" s="232" t="inlineStr">
        <is>
          <t>[Intangibles SW] Plataforma de monitoreo + módulo IA (backend)</t>
        </is>
      </c>
      <c r="C24" s="233" t="n">
        <v>260000</v>
      </c>
      <c r="D24" s="232" t="n">
        <v>3</v>
      </c>
      <c r="E24" s="232">
        <f>+D24*12</f>
        <v/>
      </c>
      <c r="F24" s="233">
        <f>+IF(E24&gt;0,C24/E24,0)</f>
        <v/>
      </c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4.25" customHeight="1">
      <c r="A25" s="1" t="n"/>
      <c r="B25" s="232" t="inlineStr">
        <is>
          <t>[Intangibles SW] Implementación CRM/ERP (setup e integración)</t>
        </is>
      </c>
      <c r="C25" s="233" t="n">
        <v>55000</v>
      </c>
      <c r="D25" s="232" t="n">
        <v>3</v>
      </c>
      <c r="E25" s="232">
        <f>+D25*12</f>
        <v/>
      </c>
      <c r="F25" s="233">
        <f>+IF(E25&gt;0,C25/E25,0)</f>
        <v/>
      </c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4.25" customHeight="1">
      <c r="A26" s="1" t="n"/>
      <c r="B26" s="232" t="inlineStr">
        <is>
          <t>[Intangibles SW] Sitio web y e-commerce</t>
        </is>
      </c>
      <c r="C26" s="233" t="n">
        <v>35000</v>
      </c>
      <c r="D26" s="232" t="n">
        <v>3</v>
      </c>
      <c r="E26" s="232">
        <f>+D26*12</f>
        <v/>
      </c>
      <c r="F26" s="233">
        <f>+IF(E26&gt;0,C26/E26,0)</f>
        <v/>
      </c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4.25" customHeight="1">
      <c r="A27" s="1" t="n"/>
      <c r="B27" s="232" t="inlineStr">
        <is>
          <t>[Preoperativos] Registro de marca e identidad visual</t>
        </is>
      </c>
      <c r="C27" s="233" t="n">
        <v>40000</v>
      </c>
      <c r="D27" s="232" t="n">
        <v>5</v>
      </c>
      <c r="E27" s="232">
        <f>+D27*12</f>
        <v/>
      </c>
      <c r="F27" s="233">
        <f>+IF(E27&gt;0,C27/E27,0)</f>
        <v/>
      </c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4.25" customHeight="1">
      <c r="A28" s="1" t="n"/>
      <c r="B28" s="232" t="inlineStr">
        <is>
          <t>[Preoperativos] Constitución legal y permisos iniciales</t>
        </is>
      </c>
      <c r="C28" s="233" t="n">
        <v>38000</v>
      </c>
      <c r="D28" s="232" t="n">
        <v>5</v>
      </c>
      <c r="E28" s="232">
        <f>+D28*12</f>
        <v/>
      </c>
      <c r="F28" s="233">
        <f>+IF(E28&gt;0,C28/E28,0)</f>
        <v/>
      </c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4.25" customHeight="1">
      <c r="A29" s="1" t="n"/>
      <c r="B29" s="232" t="inlineStr">
        <is>
          <t>[Preoperativos] Certificaciones (NOM/UL, capacitación CONUEE/CRE)</t>
        </is>
      </c>
      <c r="C29" s="233" t="n">
        <v>32000</v>
      </c>
      <c r="D29" s="232" t="n">
        <v>3</v>
      </c>
      <c r="E29" s="232">
        <f>+D29*12</f>
        <v/>
      </c>
      <c r="F29" s="233">
        <f>+IF(E29&gt;0,C29/E29,0)</f>
        <v/>
      </c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4.25" customHeight="1">
      <c r="A30" s="1" t="n"/>
      <c r="B30" s="9" t="n"/>
      <c r="C30" s="4" t="n"/>
      <c r="D30" s="9" t="n"/>
      <c r="E30" s="9" t="n"/>
      <c r="F30" s="4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4.25" customHeight="1">
      <c r="A31" s="1" t="n"/>
      <c r="B31" s="9" t="n"/>
      <c r="C31" s="4" t="n"/>
      <c r="D31" s="9" t="n"/>
      <c r="E31" s="9" t="n"/>
      <c r="F31" s="4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4.25" customHeight="1">
      <c r="A32" s="1" t="n"/>
      <c r="B32" s="9" t="n"/>
      <c r="C32" s="4" t="n"/>
      <c r="D32" s="9" t="n"/>
      <c r="E32" s="9" t="n"/>
      <c r="F32" s="4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>
      <c r="A33" s="1" t="n"/>
      <c r="B33" s="9" t="n"/>
      <c r="C33" s="4" t="n"/>
      <c r="D33" s="9" t="n"/>
      <c r="E33" s="9" t="n"/>
      <c r="F33" s="4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>
      <c r="A34" s="1" t="n"/>
      <c r="B34" s="9" t="n"/>
      <c r="C34" s="4" t="n"/>
      <c r="D34" s="9" t="n"/>
      <c r="E34" s="9" t="n"/>
      <c r="F34" s="4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>
      <c r="A35" s="1" t="n"/>
      <c r="B35" s="9" t="n"/>
      <c r="C35" s="4" t="n"/>
      <c r="D35" s="9" t="n"/>
      <c r="E35" s="9" t="n"/>
      <c r="F35" s="4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>
      <c r="A36" s="1" t="n"/>
      <c r="B36" s="9" t="n"/>
      <c r="C36" s="4" t="n"/>
      <c r="D36" s="9" t="n"/>
      <c r="E36" s="9" t="n"/>
      <c r="F36" s="4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>
      <c r="A37" s="1" t="n"/>
      <c r="B37" s="9" t="n"/>
      <c r="C37" s="4" t="n"/>
      <c r="D37" s="9" t="n"/>
      <c r="E37" s="9" t="n"/>
      <c r="F37" s="4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>
      <c r="A38" s="1" t="n"/>
      <c r="B38" s="9" t="n"/>
      <c r="C38" s="4" t="n"/>
      <c r="D38" s="9" t="n"/>
      <c r="E38" s="9" t="n"/>
      <c r="F38" s="4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>
      <c r="A39" s="1" t="n"/>
      <c r="B39" s="9" t="n"/>
      <c r="C39" s="4" t="n"/>
      <c r="D39" s="9" t="n"/>
      <c r="E39" s="9" t="n"/>
      <c r="F39" s="4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>
      <c r="A40" s="1" t="n"/>
      <c r="B40" s="9" t="n"/>
      <c r="C40" s="4" t="n"/>
      <c r="D40" s="9" t="n"/>
      <c r="E40" s="9" t="n"/>
      <c r="F40" s="4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>
      <c r="A41" s="1" t="n"/>
      <c r="B41" s="9" t="n"/>
      <c r="C41" s="4" t="n"/>
      <c r="D41" s="9" t="n"/>
      <c r="E41" s="9" t="n"/>
      <c r="F41" s="4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>
      <c r="A42" s="1" t="n"/>
      <c r="B42" s="9" t="n"/>
      <c r="C42" s="4" t="n"/>
      <c r="D42" s="9" t="n"/>
      <c r="E42" s="9" t="n"/>
      <c r="F42" s="4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>
      <c r="A43" s="1" t="n"/>
      <c r="B43" s="9" t="n"/>
      <c r="C43" s="4" t="n"/>
      <c r="D43" s="9" t="n"/>
      <c r="E43" s="9" t="n"/>
      <c r="F43" s="4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>
      <c r="A44" s="1" t="n"/>
      <c r="B44" s="9" t="n"/>
      <c r="C44" s="4" t="n"/>
      <c r="D44" s="9" t="n"/>
      <c r="E44" s="9" t="n"/>
      <c r="F44" s="4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>
      <c r="A45" s="1" t="n"/>
      <c r="B45" s="9" t="n"/>
      <c r="C45" s="4" t="n"/>
      <c r="D45" s="9" t="n"/>
      <c r="E45" s="9" t="n"/>
      <c r="F45" s="4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>
      <c r="A46" s="1" t="n"/>
      <c r="B46" s="9" t="n"/>
      <c r="C46" s="4" t="n"/>
      <c r="D46" s="9" t="n"/>
      <c r="E46" s="9" t="n"/>
      <c r="F46" s="4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>
      <c r="A47" s="1" t="n"/>
      <c r="B47" s="9" t="n"/>
      <c r="C47" s="4" t="n"/>
      <c r="D47" s="9" t="n"/>
      <c r="E47" s="9" t="n"/>
      <c r="F47" s="4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>
      <c r="A48" s="1" t="n"/>
      <c r="B48" s="9" t="n"/>
      <c r="C48" s="4" t="n"/>
      <c r="D48" s="9" t="n"/>
      <c r="E48" s="9" t="n"/>
      <c r="F48" s="4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>
      <c r="A49" s="1" t="n"/>
      <c r="B49" s="9" t="n"/>
      <c r="C49" s="4" t="n"/>
      <c r="D49" s="9" t="n"/>
      <c r="E49" s="9" t="n"/>
      <c r="F49" s="4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>
      <c r="A50" s="1" t="n"/>
      <c r="B50" s="9" t="n"/>
      <c r="C50" s="4" t="n"/>
      <c r="D50" s="9" t="n"/>
      <c r="E50" s="9" t="n"/>
      <c r="F50" s="4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>
      <c r="A51" s="1" t="n"/>
      <c r="B51" s="9" t="n"/>
      <c r="C51" s="4" t="n"/>
      <c r="D51" s="9" t="n"/>
      <c r="E51" s="9" t="n"/>
      <c r="F51" s="4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>
      <c r="A52" s="1" t="n"/>
      <c r="B52" s="9" t="n"/>
      <c r="C52" s="4" t="n"/>
      <c r="D52" s="9" t="n"/>
      <c r="E52" s="9" t="n"/>
      <c r="F52" s="4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>
      <c r="A53" s="1" t="n"/>
      <c r="B53" s="9" t="n"/>
      <c r="C53" s="4" t="n"/>
      <c r="D53" s="9" t="n"/>
      <c r="E53" s="9" t="n"/>
      <c r="F53" s="4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>
      <c r="A54" s="1" t="n"/>
      <c r="B54" s="9" t="n"/>
      <c r="C54" s="4" t="n"/>
      <c r="D54" s="9" t="n"/>
      <c r="E54" s="9" t="n"/>
      <c r="F54" s="4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>
      <c r="A55" s="1" t="n"/>
      <c r="B55" s="9" t="n"/>
      <c r="C55" s="4" t="n"/>
      <c r="D55" s="9" t="n"/>
      <c r="E55" s="9" t="n"/>
      <c r="F55" s="4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>
      <c r="A56" s="1" t="n"/>
      <c r="B56" s="9" t="n"/>
      <c r="C56" s="4" t="n"/>
      <c r="D56" s="9" t="n"/>
      <c r="E56" s="9" t="n"/>
      <c r="F56" s="4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>
      <c r="A57" s="1" t="n"/>
      <c r="B57" s="9" t="n"/>
      <c r="C57" s="4" t="n"/>
      <c r="D57" s="9" t="n"/>
      <c r="E57" s="9" t="n"/>
      <c r="F57" s="4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>
      <c r="A58" s="1" t="n"/>
      <c r="B58" s="9" t="n"/>
      <c r="C58" s="4" t="n"/>
      <c r="D58" s="9" t="n"/>
      <c r="E58" s="9" t="n"/>
      <c r="F58" s="4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>
      <c r="A59" s="1" t="n"/>
      <c r="B59" s="9" t="n"/>
      <c r="C59" s="4" t="n"/>
      <c r="D59" s="9" t="n"/>
      <c r="E59" s="9" t="n"/>
      <c r="F59" s="4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>
      <c r="A60" s="1" t="n"/>
      <c r="B60" s="9" t="n"/>
      <c r="C60" s="4" t="n"/>
      <c r="D60" s="9" t="n"/>
      <c r="E60" s="9" t="n"/>
      <c r="F60" s="4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>
      <c r="A61" s="1" t="n"/>
      <c r="B61" s="9" t="n"/>
      <c r="C61" s="4" t="n"/>
      <c r="D61" s="9" t="n"/>
      <c r="E61" s="9" t="n"/>
      <c r="F61" s="4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>
      <c r="A62" s="1" t="n"/>
      <c r="B62" s="9" t="n"/>
      <c r="C62" s="4" t="n"/>
      <c r="D62" s="9" t="n"/>
      <c r="E62" s="9" t="n"/>
      <c r="F62" s="4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>
      <c r="A63" s="1" t="n"/>
      <c r="B63" s="9" t="n"/>
      <c r="C63" s="4" t="n"/>
      <c r="D63" s="9" t="n"/>
      <c r="E63" s="9" t="n"/>
      <c r="F63" s="4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>
      <c r="A64" s="1" t="n"/>
      <c r="B64" s="9" t="n"/>
      <c r="C64" s="4" t="n"/>
      <c r="D64" s="9" t="n"/>
      <c r="E64" s="9" t="n"/>
      <c r="F64" s="4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>
      <c r="A65" s="1" t="n"/>
      <c r="B65" s="9" t="n"/>
      <c r="C65" s="4" t="n"/>
      <c r="D65" s="9" t="n"/>
      <c r="E65" s="9" t="n"/>
      <c r="F65" s="4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>
      <c r="A66" s="1" t="n"/>
      <c r="B66" s="9" t="n"/>
      <c r="C66" s="4" t="n"/>
      <c r="D66" s="9" t="n"/>
      <c r="E66" s="9" t="n"/>
      <c r="F66" s="4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>
      <c r="A67" s="1" t="n"/>
      <c r="B67" s="9" t="n"/>
      <c r="C67" s="4" t="n"/>
      <c r="D67" s="9" t="n"/>
      <c r="E67" s="9" t="n"/>
      <c r="F67" s="4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>
      <c r="A68" s="1" t="n"/>
      <c r="B68" s="9" t="n"/>
      <c r="C68" s="4" t="n"/>
      <c r="D68" s="9" t="n"/>
      <c r="E68" s="9" t="n"/>
      <c r="F68" s="4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>
      <c r="A69" s="1" t="n"/>
      <c r="B69" s="9" t="n"/>
      <c r="C69" s="4" t="n"/>
      <c r="D69" s="9" t="n"/>
      <c r="E69" s="9" t="n"/>
      <c r="F69" s="4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>
      <c r="A70" s="1" t="n"/>
      <c r="B70" s="9" t="n"/>
      <c r="C70" s="4" t="n"/>
      <c r="D70" s="9" t="n"/>
      <c r="E70" s="9" t="n"/>
      <c r="F70" s="4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>
      <c r="A71" s="1" t="n"/>
      <c r="B71" s="9" t="n"/>
      <c r="C71" s="4" t="n"/>
      <c r="D71" s="9" t="n"/>
      <c r="E71" s="9" t="n"/>
      <c r="F71" s="4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>
      <c r="A72" s="1" t="n"/>
      <c r="B72" s="9" t="n"/>
      <c r="C72" s="4" t="n"/>
      <c r="D72" s="9" t="n"/>
      <c r="E72" s="9" t="n"/>
      <c r="F72" s="4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>
      <c r="A73" s="1" t="n"/>
      <c r="B73" s="9" t="n"/>
      <c r="C73" s="4" t="n"/>
      <c r="D73" s="9" t="n"/>
      <c r="E73" s="9" t="n"/>
      <c r="F73" s="4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>
      <c r="A74" s="1" t="n"/>
      <c r="B74" s="9" t="n"/>
      <c r="C74" s="4" t="n"/>
      <c r="D74" s="9" t="n"/>
      <c r="E74" s="9" t="n"/>
      <c r="F74" s="4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>
      <c r="A75" s="1" t="n"/>
      <c r="B75" s="9" t="n"/>
      <c r="C75" s="4" t="n"/>
      <c r="D75" s="9" t="n"/>
      <c r="E75" s="9" t="n"/>
      <c r="F75" s="4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>
      <c r="A76" s="1" t="n"/>
      <c r="B76" s="9" t="n"/>
      <c r="C76" s="4" t="n"/>
      <c r="D76" s="9" t="n"/>
      <c r="E76" s="9" t="n"/>
      <c r="F76" s="4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>
      <c r="A77" s="1" t="n"/>
      <c r="B77" s="9" t="n"/>
      <c r="C77" s="4" t="n"/>
      <c r="D77" s="9" t="n"/>
      <c r="E77" s="9" t="n"/>
      <c r="F77" s="4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>
      <c r="A78" s="1" t="n"/>
      <c r="B78" s="9" t="n"/>
      <c r="C78" s="4" t="n"/>
      <c r="D78" s="9" t="n"/>
      <c r="E78" s="9" t="n"/>
      <c r="F78" s="4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>
      <c r="A79" s="1" t="n"/>
      <c r="B79" s="9" t="n"/>
      <c r="C79" s="4" t="n"/>
      <c r="D79" s="9" t="n"/>
      <c r="E79" s="9" t="n"/>
      <c r="F79" s="4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>
      <c r="A80" s="1" t="n"/>
      <c r="B80" s="9" t="n"/>
      <c r="C80" s="4" t="n"/>
      <c r="D80" s="9" t="n"/>
      <c r="E80" s="9" t="n"/>
      <c r="F80" s="4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>
      <c r="A81" s="1" t="n"/>
      <c r="B81" s="9" t="n"/>
      <c r="C81" s="4" t="n"/>
      <c r="D81" s="9" t="n"/>
      <c r="E81" s="9" t="n"/>
      <c r="F81" s="4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>
      <c r="A82" s="1" t="n"/>
      <c r="B82" s="9" t="n"/>
      <c r="C82" s="4" t="n"/>
      <c r="D82" s="9" t="n"/>
      <c r="E82" s="9" t="n"/>
      <c r="F82" s="4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>
      <c r="A83" s="1" t="n"/>
      <c r="B83" s="9" t="n"/>
      <c r="C83" s="4" t="n"/>
      <c r="D83" s="9" t="n"/>
      <c r="E83" s="9" t="n"/>
      <c r="F83" s="4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>
      <c r="A84" s="1" t="n"/>
      <c r="B84" s="9" t="n"/>
      <c r="C84" s="4" t="n"/>
      <c r="D84" s="9" t="n"/>
      <c r="E84" s="9" t="n"/>
      <c r="F84" s="4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>
      <c r="A85" s="1" t="n"/>
      <c r="B85" s="9" t="n"/>
      <c r="C85" s="4" t="n"/>
      <c r="D85" s="9" t="n"/>
      <c r="E85" s="9" t="n"/>
      <c r="F85" s="4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>
      <c r="A86" s="1" t="n"/>
      <c r="B86" s="9" t="n"/>
      <c r="C86" s="4" t="n"/>
      <c r="D86" s="9" t="n"/>
      <c r="E86" s="9" t="n"/>
      <c r="F86" s="4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>
      <c r="A87" s="1" t="n"/>
      <c r="B87" s="9" t="n"/>
      <c r="C87" s="4" t="n"/>
      <c r="D87" s="9" t="n"/>
      <c r="E87" s="9" t="n"/>
      <c r="F87" s="4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>
      <c r="A88" s="1" t="n"/>
      <c r="B88" s="9" t="n"/>
      <c r="C88" s="4" t="n"/>
      <c r="D88" s="9" t="n"/>
      <c r="E88" s="9" t="n"/>
      <c r="F88" s="4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>
      <c r="A89" s="1" t="n"/>
      <c r="B89" s="9" t="n"/>
      <c r="C89" s="4" t="n"/>
      <c r="D89" s="9" t="n"/>
      <c r="E89" s="9" t="n"/>
      <c r="F89" s="4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>
      <c r="A90" s="1" t="n"/>
      <c r="B90" s="9" t="n"/>
      <c r="C90" s="4" t="n"/>
      <c r="D90" s="9" t="n"/>
      <c r="E90" s="9" t="n"/>
      <c r="F90" s="4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>
      <c r="A91" s="1" t="n"/>
      <c r="B91" s="9" t="n"/>
      <c r="C91" s="4" t="n"/>
      <c r="D91" s="9" t="n"/>
      <c r="E91" s="9" t="n"/>
      <c r="F91" s="4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>
      <c r="A92" s="1" t="n"/>
      <c r="B92" s="9" t="n"/>
      <c r="C92" s="4" t="n"/>
      <c r="D92" s="9" t="n"/>
      <c r="E92" s="9" t="n"/>
      <c r="F92" s="4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>
      <c r="A93" s="1" t="n"/>
      <c r="B93" s="9" t="n"/>
      <c r="C93" s="4" t="n"/>
      <c r="D93" s="9" t="n"/>
      <c r="E93" s="9" t="n"/>
      <c r="F93" s="4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>
      <c r="A94" s="1" t="n"/>
      <c r="B94" s="9" t="n"/>
      <c r="C94" s="4" t="n"/>
      <c r="D94" s="9" t="n"/>
      <c r="E94" s="9" t="n"/>
      <c r="F94" s="4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>
      <c r="A95" s="1" t="n"/>
      <c r="B95" s="9" t="n"/>
      <c r="C95" s="4" t="n"/>
      <c r="D95" s="9" t="n"/>
      <c r="E95" s="9" t="n"/>
      <c r="F95" s="4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>
      <c r="A96" s="1" t="n"/>
      <c r="B96" s="9" t="n"/>
      <c r="C96" s="4" t="n"/>
      <c r="D96" s="9" t="n"/>
      <c r="E96" s="9" t="n"/>
      <c r="F96" s="4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>
      <c r="A97" s="1" t="n"/>
      <c r="B97" s="9" t="n"/>
      <c r="C97" s="4" t="n"/>
      <c r="D97" s="9" t="n"/>
      <c r="E97" s="9" t="n"/>
      <c r="F97" s="4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>
      <c r="A98" s="1" t="n"/>
      <c r="B98" s="9" t="n"/>
      <c r="C98" s="4" t="n"/>
      <c r="D98" s="9" t="n"/>
      <c r="E98" s="9" t="n"/>
      <c r="F98" s="4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>
      <c r="A99" s="1" t="n"/>
      <c r="B99" s="9" t="n"/>
      <c r="C99" s="4" t="n"/>
      <c r="D99" s="9" t="n"/>
      <c r="E99" s="9" t="n"/>
      <c r="F99" s="4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>
      <c r="A100" s="1" t="n"/>
      <c r="B100" s="9" t="n"/>
      <c r="C100" s="4" t="n"/>
      <c r="D100" s="9" t="n"/>
      <c r="E100" s="9" t="n"/>
      <c r="F100" s="4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>
      <c r="A101" s="1" t="n"/>
      <c r="B101" s="9" t="n"/>
      <c r="C101" s="4" t="n"/>
      <c r="D101" s="9" t="n"/>
      <c r="E101" s="9" t="n"/>
      <c r="F101" s="4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>
      <c r="A102" s="1" t="n"/>
      <c r="B102" s="9" t="n"/>
      <c r="C102" s="4" t="n"/>
      <c r="D102" s="9" t="n"/>
      <c r="E102" s="9" t="n"/>
      <c r="F102" s="4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>
      <c r="A103" s="1" t="n"/>
      <c r="B103" s="9" t="n"/>
      <c r="C103" s="4" t="n"/>
      <c r="D103" s="9" t="n"/>
      <c r="E103" s="9" t="n"/>
      <c r="F103" s="4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>
      <c r="A104" s="1" t="n"/>
      <c r="B104" s="9" t="n"/>
      <c r="C104" s="4" t="n"/>
      <c r="D104" s="9" t="n"/>
      <c r="E104" s="9" t="n"/>
      <c r="F104" s="4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>
      <c r="A105" s="1" t="n"/>
      <c r="B105" s="9" t="n"/>
      <c r="C105" s="4" t="n"/>
      <c r="D105" s="9" t="n"/>
      <c r="E105" s="9" t="n"/>
      <c r="F105" s="4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>
      <c r="A106" s="1" t="n"/>
      <c r="B106" s="9" t="n"/>
      <c r="C106" s="4" t="n"/>
      <c r="D106" s="9" t="n"/>
      <c r="E106" s="9" t="n"/>
      <c r="F106" s="4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>
      <c r="A107" s="1" t="n"/>
      <c r="B107" s="9" t="n"/>
      <c r="C107" s="4" t="n"/>
      <c r="D107" s="9" t="n"/>
      <c r="E107" s="9" t="n"/>
      <c r="F107" s="4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>
      <c r="A108" s="1" t="n"/>
      <c r="B108" s="9" t="n"/>
      <c r="C108" s="4" t="n"/>
      <c r="D108" s="9" t="n"/>
      <c r="E108" s="9" t="n"/>
      <c r="F108" s="4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>
      <c r="A109" s="1" t="n"/>
      <c r="B109" s="9" t="n"/>
      <c r="C109" s="4" t="n"/>
      <c r="D109" s="9" t="n"/>
      <c r="E109" s="9" t="n"/>
      <c r="F109" s="4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>
      <c r="A110" s="1" t="n"/>
      <c r="B110" s="9" t="n"/>
      <c r="C110" s="4" t="n"/>
      <c r="D110" s="9" t="n"/>
      <c r="E110" s="9" t="n"/>
      <c r="F110" s="4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>
      <c r="A111" s="1" t="n"/>
      <c r="B111" s="9" t="n"/>
      <c r="C111" s="4" t="n"/>
      <c r="D111" s="9" t="n"/>
      <c r="E111" s="9" t="n"/>
      <c r="F111" s="4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>
      <c r="A112" s="1" t="n"/>
      <c r="B112" s="9" t="n"/>
      <c r="C112" s="4" t="n"/>
      <c r="D112" s="9" t="n"/>
      <c r="E112" s="9" t="n"/>
      <c r="F112" s="4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>
      <c r="A113" s="1" t="n"/>
      <c r="B113" s="9" t="n"/>
      <c r="C113" s="4" t="n"/>
      <c r="D113" s="9" t="n"/>
      <c r="E113" s="9" t="n"/>
      <c r="F113" s="4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>
      <c r="A114" s="1" t="n"/>
      <c r="B114" s="9" t="n"/>
      <c r="C114" s="4" t="n"/>
      <c r="D114" s="9" t="n"/>
      <c r="E114" s="9" t="n"/>
      <c r="F114" s="4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>
      <c r="A115" s="1" t="n"/>
      <c r="B115" s="9" t="n"/>
      <c r="C115" s="4" t="n"/>
      <c r="D115" s="9" t="n"/>
      <c r="E115" s="9" t="n"/>
      <c r="F115" s="4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>
      <c r="A116" s="1" t="n"/>
      <c r="B116" s="9" t="n"/>
      <c r="C116" s="4" t="n"/>
      <c r="D116" s="9" t="n"/>
      <c r="E116" s="9" t="n"/>
      <c r="F116" s="4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>
      <c r="A117" s="1" t="n"/>
      <c r="B117" s="9" t="n"/>
      <c r="C117" s="4" t="n"/>
      <c r="D117" s="9" t="n"/>
      <c r="E117" s="9" t="n"/>
      <c r="F117" s="4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>
      <c r="A118" s="1" t="n"/>
      <c r="B118" s="9" t="n"/>
      <c r="C118" s="4" t="n"/>
      <c r="D118" s="9" t="n"/>
      <c r="E118" s="9" t="n"/>
      <c r="F118" s="4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>
      <c r="A119" s="1" t="n"/>
      <c r="B119" s="9" t="n"/>
      <c r="C119" s="4" t="n"/>
      <c r="D119" s="9" t="n"/>
      <c r="E119" s="9" t="n"/>
      <c r="F119" s="4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>
      <c r="A120" s="1" t="n"/>
      <c r="B120" s="9" t="n"/>
      <c r="C120" s="4" t="n"/>
      <c r="D120" s="9" t="n"/>
      <c r="E120" s="9" t="n"/>
      <c r="F120" s="4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>
      <c r="A121" s="1" t="n"/>
      <c r="B121" s="9" t="n"/>
      <c r="C121" s="4" t="n"/>
      <c r="D121" s="9" t="n"/>
      <c r="E121" s="9" t="n"/>
      <c r="F121" s="4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>
      <c r="A122" s="1" t="n"/>
      <c r="B122" s="9" t="n"/>
      <c r="C122" s="4" t="n"/>
      <c r="D122" s="9" t="n"/>
      <c r="E122" s="9" t="n"/>
      <c r="F122" s="4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>
      <c r="A123" s="1" t="n"/>
      <c r="B123" s="9" t="n"/>
      <c r="C123" s="4" t="n"/>
      <c r="D123" s="9" t="n"/>
      <c r="E123" s="9" t="n"/>
      <c r="F123" s="4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>
      <c r="A124" s="1" t="n"/>
      <c r="B124" s="9" t="n"/>
      <c r="C124" s="4" t="n"/>
      <c r="D124" s="9" t="n"/>
      <c r="E124" s="9" t="n"/>
      <c r="F124" s="4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>
      <c r="A125" s="1" t="n"/>
      <c r="B125" s="9" t="n"/>
      <c r="C125" s="4" t="n"/>
      <c r="D125" s="9" t="n"/>
      <c r="E125" s="9" t="n"/>
      <c r="F125" s="4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>
      <c r="A126" s="1" t="n"/>
      <c r="B126" s="9" t="n"/>
      <c r="C126" s="4" t="n"/>
      <c r="D126" s="9" t="n"/>
      <c r="E126" s="9" t="n"/>
      <c r="F126" s="4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>
      <c r="A127" s="1" t="n"/>
      <c r="B127" s="9" t="n"/>
      <c r="C127" s="4" t="n"/>
      <c r="D127" s="9" t="n"/>
      <c r="E127" s="9" t="n"/>
      <c r="F127" s="4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>
      <c r="A128" s="1" t="n"/>
      <c r="B128" s="9" t="n"/>
      <c r="C128" s="4" t="n"/>
      <c r="D128" s="9" t="n"/>
      <c r="E128" s="9" t="n"/>
      <c r="F128" s="4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>
      <c r="A129" s="1" t="n"/>
      <c r="B129" s="9" t="n"/>
      <c r="C129" s="4" t="n"/>
      <c r="D129" s="9" t="n"/>
      <c r="E129" s="9" t="n"/>
      <c r="F129" s="4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>
      <c r="A130" s="1" t="n"/>
      <c r="B130" s="9" t="n"/>
      <c r="C130" s="4" t="n"/>
      <c r="D130" s="9" t="n"/>
      <c r="E130" s="9" t="n"/>
      <c r="F130" s="4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>
      <c r="A131" s="1" t="n"/>
      <c r="B131" s="9" t="n"/>
      <c r="C131" s="4" t="n"/>
      <c r="D131" s="9" t="n"/>
      <c r="E131" s="9" t="n"/>
      <c r="F131" s="4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>
      <c r="A132" s="1" t="n"/>
      <c r="B132" s="9" t="n"/>
      <c r="C132" s="4" t="n"/>
      <c r="D132" s="9" t="n"/>
      <c r="E132" s="9" t="n"/>
      <c r="F132" s="4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>
      <c r="A133" s="1" t="n"/>
      <c r="B133" s="9" t="n"/>
      <c r="C133" s="4" t="n"/>
      <c r="D133" s="9" t="n"/>
      <c r="E133" s="9" t="n"/>
      <c r="F133" s="4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>
      <c r="A134" s="1" t="n"/>
      <c r="B134" s="9" t="n"/>
      <c r="C134" s="4" t="n"/>
      <c r="D134" s="9" t="n"/>
      <c r="E134" s="9" t="n"/>
      <c r="F134" s="4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>
      <c r="A135" s="1" t="n"/>
      <c r="B135" s="9" t="n"/>
      <c r="C135" s="4" t="n"/>
      <c r="D135" s="9" t="n"/>
      <c r="E135" s="9" t="n"/>
      <c r="F135" s="4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>
      <c r="A136" s="1" t="n"/>
      <c r="B136" s="9" t="n"/>
      <c r="C136" s="4" t="n"/>
      <c r="D136" s="9" t="n"/>
      <c r="E136" s="9" t="n"/>
      <c r="F136" s="4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>
      <c r="A137" s="1" t="n"/>
      <c r="B137" s="9" t="n"/>
      <c r="C137" s="4" t="n"/>
      <c r="D137" s="9" t="n"/>
      <c r="E137" s="9" t="n"/>
      <c r="F137" s="4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>
      <c r="A138" s="1" t="n"/>
      <c r="B138" s="9" t="n"/>
      <c r="C138" s="9" t="n"/>
      <c r="D138" s="9" t="n"/>
      <c r="E138" s="9" t="n"/>
      <c r="F138" s="9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1">
    <mergeCell ref="B2:F3"/>
  </mergeCells>
  <hyperlinks>
    <hyperlink xmlns:r="http://schemas.openxmlformats.org/officeDocument/2006/relationships" ref="H6" display="Parametros de vida útil" r:id="rId1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Z1001"/>
  <sheetViews>
    <sheetView showGridLines="0" workbookViewId="0">
      <selection activeCell="E14" sqref="E14"/>
    </sheetView>
  </sheetViews>
  <sheetFormatPr baseColWidth="10" defaultColWidth="14.453125" defaultRowHeight="15" customHeight="1"/>
  <cols>
    <col width="11.453125" customWidth="1" min="1" max="1"/>
    <col width="22.81640625" customWidth="1" min="2" max="2"/>
    <col width="11.81640625" customWidth="1" min="3" max="3"/>
    <col width="29" customWidth="1" min="4" max="4"/>
    <col width="11.81640625" customWidth="1" min="5" max="5"/>
    <col width="22.81640625" customWidth="1" min="6" max="6"/>
    <col width="11.453125" customWidth="1" min="7" max="7"/>
    <col width="22.81640625" customWidth="1" min="8" max="8"/>
    <col width="11.453125" customWidth="1" min="9" max="9"/>
    <col width="22.81640625" customWidth="1" min="10" max="10"/>
    <col width="11.453125" customWidth="1" min="11" max="11"/>
    <col width="22.81640625" customWidth="1" min="12" max="12"/>
    <col width="11.453125" customWidth="1" min="13" max="13"/>
    <col width="22.81640625" customWidth="1" min="14" max="14"/>
    <col width="11.453125" customWidth="1" min="15" max="26"/>
  </cols>
  <sheetData>
    <row r="1" ht="14.2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4.25" customHeight="1">
      <c r="A2" s="1" t="n"/>
      <c r="B2" s="235" t="inlineStr">
        <is>
          <t>Porcentaje de prestaciones de ley:</t>
        </is>
      </c>
      <c r="D2" s="236" t="n">
        <v>0.35</v>
      </c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4.2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30.75" customHeight="1">
      <c r="A4" s="1" t="n"/>
      <c r="B4" s="200" t="inlineStr">
        <is>
          <t>Sueldos (mensual)</t>
        </is>
      </c>
      <c r="C4" s="237" t="n"/>
      <c r="D4" s="202" t="inlineStr">
        <is>
          <t>Costo  Indirecto de Fábrica (mensual)</t>
        </is>
      </c>
      <c r="E4" s="237" t="n"/>
      <c r="F4" s="200" t="inlineStr">
        <is>
          <t>Productos/Servicios</t>
        </is>
      </c>
      <c r="G4" s="238" t="n"/>
      <c r="H4" s="238" t="n"/>
      <c r="I4" s="238" t="n"/>
      <c r="J4" s="238" t="n"/>
      <c r="K4" s="238" t="n"/>
      <c r="L4" s="238" t="n"/>
      <c r="M4" s="238" t="n"/>
      <c r="N4" s="238" t="n"/>
      <c r="O4" s="239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5.75" customHeight="1">
      <c r="A5" s="1" t="n"/>
      <c r="B5" s="240" t="n"/>
      <c r="C5" s="241" t="n"/>
      <c r="D5" s="240" t="n"/>
      <c r="E5" s="241" t="n"/>
      <c r="F5" s="242" t="inlineStr">
        <is>
          <t>Sistema Fotovoltaico 4 kWp</t>
        </is>
      </c>
      <c r="G5" s="239" t="n"/>
      <c r="H5" s="242" t="inlineStr">
        <is>
          <t>Calentador Solar 200 L</t>
        </is>
      </c>
      <c r="I5" s="239" t="n"/>
      <c r="J5" s="203" t="inlineStr">
        <is>
          <t>Prod/Servicio 3</t>
        </is>
      </c>
      <c r="K5" s="239" t="n"/>
      <c r="L5" s="203" t="inlineStr">
        <is>
          <t>Prod/Servicio 4</t>
        </is>
      </c>
      <c r="M5" s="239" t="n"/>
      <c r="N5" s="203" t="inlineStr">
        <is>
          <t>Prod/Servicio 5</t>
        </is>
      </c>
      <c r="O5" s="239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4.25" customHeight="1">
      <c r="A6" s="1" t="n"/>
      <c r="B6" s="164" t="inlineStr">
        <is>
          <t>Concepto</t>
        </is>
      </c>
      <c r="C6" s="164" t="inlineStr">
        <is>
          <t>Monto</t>
        </is>
      </c>
      <c r="D6" s="164" t="inlineStr">
        <is>
          <t>Concepto</t>
        </is>
      </c>
      <c r="E6" s="164" t="inlineStr">
        <is>
          <t>Monto</t>
        </is>
      </c>
      <c r="F6" s="164" t="inlineStr">
        <is>
          <t>Concepto</t>
        </is>
      </c>
      <c r="G6" s="164" t="inlineStr">
        <is>
          <t>Monto</t>
        </is>
      </c>
      <c r="H6" s="164" t="inlineStr">
        <is>
          <t>Concepto</t>
        </is>
      </c>
      <c r="I6" s="164" t="inlineStr">
        <is>
          <t>Monto</t>
        </is>
      </c>
      <c r="J6" s="164" t="inlineStr">
        <is>
          <t>Concepto</t>
        </is>
      </c>
      <c r="K6" s="164" t="inlineStr">
        <is>
          <t>Monto</t>
        </is>
      </c>
      <c r="L6" s="164" t="inlineStr">
        <is>
          <t>Concepto</t>
        </is>
      </c>
      <c r="M6" s="164" t="inlineStr">
        <is>
          <t>Monto</t>
        </is>
      </c>
      <c r="N6" s="164" t="inlineStr">
        <is>
          <t>Concepto</t>
        </is>
      </c>
      <c r="O6" s="164" t="inlineStr">
        <is>
          <t>Monto</t>
        </is>
      </c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4.25" customHeight="1">
      <c r="A7" s="1" t="n"/>
      <c r="B7" s="165" t="inlineStr">
        <is>
          <t>Total</t>
        </is>
      </c>
      <c r="C7" s="166">
        <f>+SUM(C9:C52)+C8</f>
        <v/>
      </c>
      <c r="D7" s="165" t="inlineStr">
        <is>
          <t>Total</t>
        </is>
      </c>
      <c r="E7" s="166">
        <f>+SUM(E9:E52)+E8</f>
        <v/>
      </c>
      <c r="F7" s="181" t="inlineStr">
        <is>
          <t>Total</t>
        </is>
      </c>
      <c r="G7" s="182">
        <f>+SUM(G8:G52)</f>
        <v/>
      </c>
      <c r="H7" s="181" t="inlineStr">
        <is>
          <t>Total</t>
        </is>
      </c>
      <c r="I7" s="182">
        <f>+SUM(I8:I52)</f>
        <v/>
      </c>
      <c r="J7" s="181" t="inlineStr">
        <is>
          <t>Total</t>
        </is>
      </c>
      <c r="K7" s="182">
        <f>+SUM(K8:K52)</f>
        <v/>
      </c>
      <c r="L7" s="181" t="inlineStr">
        <is>
          <t>Total</t>
        </is>
      </c>
      <c r="M7" s="182">
        <f>+SUM(M8:M52)</f>
        <v/>
      </c>
      <c r="N7" s="181" t="inlineStr">
        <is>
          <t>Total</t>
        </is>
      </c>
      <c r="O7" s="182">
        <f>+SUM(O8:O52)</f>
        <v/>
      </c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4.25" customHeight="1">
      <c r="A8" s="1" t="n"/>
      <c r="B8" s="183" t="inlineStr">
        <is>
          <t>Prestaciones de ley</t>
        </is>
      </c>
      <c r="C8" s="184">
        <f>+SUM(C9:C52)*$D$2</f>
        <v/>
      </c>
      <c r="D8" s="183" t="inlineStr">
        <is>
          <t>Depreciación/amortización</t>
        </is>
      </c>
      <c r="E8" s="184">
        <f>+CAPEX!F5</f>
        <v/>
      </c>
      <c r="F8" s="232" t="inlineStr">
        <is>
          <t>Paneles solares 8×550 W bifaciales</t>
        </is>
      </c>
      <c r="G8" s="233" t="n">
        <v>28000</v>
      </c>
      <c r="H8" s="232" t="inlineStr">
        <is>
          <t>Termotanque tubos al vacío 200 L</t>
        </is>
      </c>
      <c r="I8" s="233" t="n">
        <v>5200</v>
      </c>
      <c r="J8" s="162" t="n"/>
      <c r="K8" s="163" t="n"/>
      <c r="L8" s="162" t="n"/>
      <c r="M8" s="163" t="n"/>
      <c r="N8" s="162" t="n"/>
      <c r="O8" s="163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4.25" customHeight="1">
      <c r="A9" s="1" t="n"/>
      <c r="B9" s="232" t="inlineStr">
        <is>
          <t>Director General (CEO)</t>
        </is>
      </c>
      <c r="C9" s="233" t="n">
        <v>35000</v>
      </c>
      <c r="D9" s="232" t="inlineStr">
        <is>
          <t>Renta de oficina</t>
        </is>
      </c>
      <c r="E9" s="233" t="n">
        <v>12000</v>
      </c>
      <c r="F9" s="232" t="inlineStr">
        <is>
          <t>Inversor string 5 kW</t>
        </is>
      </c>
      <c r="G9" s="233" t="n">
        <v>16000</v>
      </c>
      <c r="H9" s="232" t="inlineStr">
        <is>
          <t>Estructura y soportería</t>
        </is>
      </c>
      <c r="I9" s="233" t="n">
        <v>900</v>
      </c>
      <c r="J9" s="9" t="n"/>
      <c r="K9" s="4" t="n"/>
      <c r="L9" s="9" t="n"/>
      <c r="M9" s="4" t="n"/>
      <c r="N9" s="9" t="n"/>
      <c r="O9" s="4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4.25" customHeight="1">
      <c r="A10" s="1" t="n"/>
      <c r="B10" s="232" t="inlineStr">
        <is>
          <t>Líder Comercial / Ventas</t>
        </is>
      </c>
      <c r="C10" s="233" t="n">
        <v>22000</v>
      </c>
      <c r="D10" s="232" t="inlineStr">
        <is>
          <t>Renta de bodega/almacén</t>
        </is>
      </c>
      <c r="E10" s="233" t="n">
        <v>8000</v>
      </c>
      <c r="F10" s="232" t="inlineStr">
        <is>
          <t>Estructura de montaje y rieles</t>
        </is>
      </c>
      <c r="G10" s="233" t="n">
        <v>8500</v>
      </c>
      <c r="H10" s="232" t="inlineStr">
        <is>
          <t>Tubería, conexiones y aislante térmico</t>
        </is>
      </c>
      <c r="I10" s="233" t="n">
        <v>1100</v>
      </c>
      <c r="J10" s="9" t="n"/>
      <c r="K10" s="4" t="n"/>
      <c r="L10" s="9" t="n"/>
      <c r="M10" s="4" t="n"/>
      <c r="N10" s="9" t="n"/>
      <c r="O10" s="4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4.25" customHeight="1">
      <c r="A11" s="1" t="n"/>
      <c r="B11" s="232" t="inlineStr">
        <is>
          <t>Ingeniero Solar / Diseño y Operaciones</t>
        </is>
      </c>
      <c r="C11" s="233" t="n">
        <v>25000</v>
      </c>
      <c r="D11" s="232" t="inlineStr">
        <is>
          <t>Energía eléctrica</t>
        </is>
      </c>
      <c r="E11" s="233" t="n">
        <v>2500</v>
      </c>
      <c r="F11" s="232" t="inlineStr">
        <is>
          <t>Cableado, protecciones y tablero</t>
        </is>
      </c>
      <c r="G11" s="233" t="n">
        <v>6500</v>
      </c>
      <c r="H11" s="232" t="inlineStr">
        <is>
          <t>Mano de obra de instalación</t>
        </is>
      </c>
      <c r="I11" s="233" t="n">
        <v>600</v>
      </c>
      <c r="J11" s="9" t="n"/>
      <c r="K11" s="4" t="n"/>
      <c r="L11" s="9" t="n"/>
      <c r="M11" s="4" t="n"/>
      <c r="N11" s="9" t="n"/>
      <c r="O11" s="4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4.25" customHeight="1">
      <c r="A12" s="1" t="n"/>
      <c r="B12" s="232" t="inlineStr">
        <is>
          <t>Instalador líder (cuadrilla)</t>
        </is>
      </c>
      <c r="C12" s="233" t="n">
        <v>14000</v>
      </c>
      <c r="D12" s="232" t="inlineStr">
        <is>
          <t>Agua</t>
        </is>
      </c>
      <c r="E12" s="233" t="n">
        <v>600</v>
      </c>
      <c r="F12" s="232" t="inlineStr">
        <is>
          <t>Medidor bidireccional e interconexión</t>
        </is>
      </c>
      <c r="G12" s="233" t="n">
        <v>3500</v>
      </c>
      <c r="H12" s="9" t="n"/>
      <c r="I12" s="4" t="n"/>
      <c r="J12" s="9" t="n"/>
      <c r="K12" s="4" t="n"/>
      <c r="L12" s="9" t="n"/>
      <c r="M12" s="4" t="n"/>
      <c r="N12" s="9" t="n"/>
      <c r="O12" s="4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4.25" customHeight="1">
      <c r="A13" s="1" t="n"/>
      <c r="B13" s="232" t="inlineStr">
        <is>
          <t>Ayudante de instalación</t>
        </is>
      </c>
      <c r="C13" s="233" t="n">
        <v>9000</v>
      </c>
      <c r="D13" s="232" t="inlineStr">
        <is>
          <t>Internet y telefonía</t>
        </is>
      </c>
      <c r="E13" s="233" t="n">
        <v>2500</v>
      </c>
      <c r="F13" s="232" t="inlineStr">
        <is>
          <t>Mano de obra de instalación</t>
        </is>
      </c>
      <c r="G13" s="233" t="n">
        <v>7000</v>
      </c>
      <c r="H13" s="9" t="n"/>
      <c r="I13" s="4" t="n"/>
      <c r="J13" s="9" t="n"/>
      <c r="K13" s="4" t="n"/>
      <c r="L13" s="9" t="n"/>
      <c r="M13" s="4" t="n"/>
      <c r="N13" s="9" t="n"/>
      <c r="O13" s="4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4.25" customHeight="1">
      <c r="A14" s="1" t="n"/>
      <c r="B14" s="232" t="inlineStr">
        <is>
          <t>Analista Financiero / Administración</t>
        </is>
      </c>
      <c r="C14" s="233" t="n">
        <v>16000</v>
      </c>
      <c r="D14" s="232" t="inlineStr">
        <is>
          <t>Software CRM (HubSpot/Pipedrive)</t>
        </is>
      </c>
      <c r="E14" s="233" t="n">
        <v>2800</v>
      </c>
      <c r="F14" s="232" t="inlineStr">
        <is>
          <t>Trámites CFE / gestoría</t>
        </is>
      </c>
      <c r="G14" s="233" t="n">
        <v>2500</v>
      </c>
      <c r="H14" s="9" t="n"/>
      <c r="I14" s="4" t="n"/>
      <c r="J14" s="9" t="n"/>
      <c r="K14" s="4" t="n"/>
      <c r="L14" s="9" t="n"/>
      <c r="M14" s="4" t="n"/>
      <c r="N14" s="9" t="n"/>
      <c r="O14" s="4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4.25" customHeight="1">
      <c r="A15" s="1" t="n"/>
      <c r="B15" s="232" t="inlineStr">
        <is>
          <t>Growth / Marketing</t>
        </is>
      </c>
      <c r="C15" s="233" t="n">
        <v>18000</v>
      </c>
      <c r="D15" s="232" t="inlineStr">
        <is>
          <t>Software ERP/contabilidad (CONTPAQi)</t>
        </is>
      </c>
      <c r="E15" s="233" t="n">
        <v>1800</v>
      </c>
      <c r="F15" s="232" t="inlineStr">
        <is>
          <t>Flete y maniobras</t>
        </is>
      </c>
      <c r="G15" s="233" t="n">
        <v>2000</v>
      </c>
      <c r="H15" s="9" t="n"/>
      <c r="I15" s="4" t="n"/>
      <c r="J15" s="9" t="n"/>
      <c r="K15" s="4" t="n"/>
      <c r="L15" s="9" t="n"/>
      <c r="M15" s="4" t="n"/>
      <c r="N15" s="9" t="n"/>
      <c r="O15" s="4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4.25" customHeight="1">
      <c r="A16" s="1" t="n"/>
      <c r="B16" s="232" t="inlineStr">
        <is>
          <t>Servicio al cliente / Postventa (medio tiempo)</t>
        </is>
      </c>
      <c r="C16" s="233" t="n">
        <v>8000</v>
      </c>
      <c r="D16" s="232" t="inlineStr">
        <is>
          <t>Software monitoreo/IA (cloud + APIs)</t>
        </is>
      </c>
      <c r="E16" s="233" t="n">
        <v>4500</v>
      </c>
      <c r="F16" s="9" t="n"/>
      <c r="G16" s="4" t="n"/>
      <c r="H16" s="9" t="n"/>
      <c r="I16" s="4" t="n"/>
      <c r="J16" s="9" t="n"/>
      <c r="K16" s="4" t="n"/>
      <c r="L16" s="9" t="n"/>
      <c r="M16" s="4" t="n"/>
      <c r="N16" s="9" t="n"/>
      <c r="O16" s="4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4.25" customHeight="1">
      <c r="A17" s="1" t="n"/>
      <c r="B17" s="9" t="n"/>
      <c r="C17" s="4" t="n"/>
      <c r="D17" s="232" t="inlineStr">
        <is>
          <t>Combustible (van)</t>
        </is>
      </c>
      <c r="E17" s="233" t="n">
        <v>6000</v>
      </c>
      <c r="F17" s="9" t="n"/>
      <c r="G17" s="4" t="n"/>
      <c r="H17" s="9" t="n"/>
      <c r="I17" s="4" t="n"/>
      <c r="J17" s="9" t="n"/>
      <c r="K17" s="4" t="n"/>
      <c r="L17" s="9" t="n"/>
      <c r="M17" s="4" t="n"/>
      <c r="N17" s="9" t="n"/>
      <c r="O17" s="4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4.25" customHeight="1">
      <c r="A18" s="1" t="n"/>
      <c r="B18" s="9" t="n"/>
      <c r="C18" s="9" t="n"/>
      <c r="D18" s="232" t="inlineStr">
        <is>
          <t>Mantenimiento vehicular</t>
        </is>
      </c>
      <c r="E18" s="233" t="n">
        <v>2000</v>
      </c>
      <c r="F18" s="9" t="n"/>
      <c r="G18" s="4" t="n"/>
      <c r="H18" s="9" t="n"/>
      <c r="I18" s="4" t="n"/>
      <c r="J18" s="9" t="n"/>
      <c r="K18" s="4" t="n"/>
      <c r="L18" s="9" t="n"/>
      <c r="M18" s="4" t="n"/>
      <c r="N18" s="9" t="n"/>
      <c r="O18" s="4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4.25" customHeight="1">
      <c r="A19" s="1" t="n"/>
      <c r="B19" s="9" t="n"/>
      <c r="C19" s="9" t="n"/>
      <c r="D19" s="232" t="inlineStr">
        <is>
          <t>Casetas y peajes</t>
        </is>
      </c>
      <c r="E19" s="233" t="n">
        <v>1500</v>
      </c>
      <c r="F19" s="9" t="n"/>
      <c r="G19" s="4" t="n"/>
      <c r="H19" s="9" t="n"/>
      <c r="I19" s="4" t="n"/>
      <c r="J19" s="9" t="n"/>
      <c r="K19" s="4" t="n"/>
      <c r="L19" s="9" t="n"/>
      <c r="M19" s="4" t="n"/>
      <c r="N19" s="9" t="n"/>
      <c r="O19" s="4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4.25" customHeight="1">
      <c r="A20" s="1" t="n"/>
      <c r="B20" s="9" t="n"/>
      <c r="C20" s="9" t="n"/>
      <c r="D20" s="232" t="inlineStr">
        <is>
          <t>Herramienta menor y consumibles (silicón, tornillería)</t>
        </is>
      </c>
      <c r="E20" s="233" t="n">
        <v>3000</v>
      </c>
      <c r="F20" s="9" t="n"/>
      <c r="G20" s="4" t="n"/>
      <c r="H20" s="9" t="n"/>
      <c r="I20" s="4" t="n"/>
      <c r="J20" s="9" t="n"/>
      <c r="K20" s="4" t="n"/>
      <c r="L20" s="9" t="n"/>
      <c r="M20" s="4" t="n"/>
      <c r="N20" s="9" t="n"/>
      <c r="O20" s="4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4.25" customHeight="1">
      <c r="A21" s="1" t="n"/>
      <c r="B21" s="9" t="n"/>
      <c r="C21" s="9" t="n"/>
      <c r="D21" s="232" t="inlineStr">
        <is>
          <t>EPP y uniformes</t>
        </is>
      </c>
      <c r="E21" s="233" t="n">
        <v>1200</v>
      </c>
      <c r="F21" s="9" t="n"/>
      <c r="G21" s="4" t="n"/>
      <c r="H21" s="9" t="n"/>
      <c r="I21" s="4" t="n"/>
      <c r="J21" s="9" t="n"/>
      <c r="K21" s="4" t="n"/>
      <c r="L21" s="9" t="n"/>
      <c r="M21" s="4" t="n"/>
      <c r="N21" s="9" t="n"/>
      <c r="O21" s="4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4.25" customHeight="1">
      <c r="A22" s="1" t="n"/>
      <c r="B22" s="9" t="n"/>
      <c r="C22" s="9" t="n"/>
      <c r="D22" s="232" t="inlineStr">
        <is>
          <t>Seguro de responsabilidad civil + equipo</t>
        </is>
      </c>
      <c r="E22" s="233" t="n">
        <v>3500</v>
      </c>
      <c r="F22" s="9" t="n"/>
      <c r="G22" s="4" t="n"/>
      <c r="H22" s="9" t="n"/>
      <c r="I22" s="4" t="n"/>
      <c r="J22" s="9" t="n"/>
      <c r="K22" s="4" t="n"/>
      <c r="L22" s="9" t="n"/>
      <c r="M22" s="4" t="n"/>
      <c r="N22" s="9" t="n"/>
      <c r="O22" s="4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4.25" customHeight="1">
      <c r="A23" s="1" t="n"/>
      <c r="B23" s="9" t="n"/>
      <c r="C23" s="4" t="n"/>
      <c r="D23" s="232" t="inlineStr">
        <is>
          <t>Seguro de vehículo</t>
        </is>
      </c>
      <c r="E23" s="233" t="n">
        <v>1800</v>
      </c>
      <c r="F23" s="9" t="n"/>
      <c r="G23" s="4" t="n"/>
      <c r="H23" s="9" t="n"/>
      <c r="I23" s="4" t="n"/>
      <c r="J23" s="9" t="n"/>
      <c r="K23" s="4" t="n"/>
      <c r="L23" s="9" t="n"/>
      <c r="M23" s="4" t="n"/>
      <c r="N23" s="9" t="n"/>
      <c r="O23" s="4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4.25" customHeight="1">
      <c r="A24" s="1" t="n"/>
      <c r="B24" s="9" t="n"/>
      <c r="C24" s="4" t="n"/>
      <c r="D24" s="232" t="inlineStr">
        <is>
          <t>Honorarios contables</t>
        </is>
      </c>
      <c r="E24" s="233" t="n">
        <v>4500</v>
      </c>
      <c r="F24" s="9" t="n"/>
      <c r="G24" s="4" t="n"/>
      <c r="H24" s="9" t="n"/>
      <c r="I24" s="4" t="n"/>
      <c r="J24" s="9" t="n"/>
      <c r="K24" s="4" t="n"/>
      <c r="L24" s="9" t="n"/>
      <c r="M24" s="4" t="n"/>
      <c r="N24" s="9" t="n"/>
      <c r="O24" s="4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4.25" customHeight="1">
      <c r="A25" s="1" t="n"/>
      <c r="B25" s="9" t="n"/>
      <c r="C25" s="4" t="n"/>
      <c r="D25" s="232" t="inlineStr">
        <is>
          <t>Honorarios legales</t>
        </is>
      </c>
      <c r="E25" s="233" t="n">
        <v>2500</v>
      </c>
      <c r="F25" s="9" t="n"/>
      <c r="G25" s="4" t="n"/>
      <c r="H25" s="9" t="n"/>
      <c r="I25" s="4" t="n"/>
      <c r="J25" s="9" t="n"/>
      <c r="K25" s="4" t="n"/>
      <c r="L25" s="9" t="n"/>
      <c r="M25" s="4" t="n"/>
      <c r="N25" s="9" t="n"/>
      <c r="O25" s="4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4.25" customHeight="1">
      <c r="A26" s="1" t="n"/>
      <c r="B26" s="9" t="n"/>
      <c r="C26" s="4" t="n"/>
      <c r="D26" s="232" t="inlineStr">
        <is>
          <t>Papelería y artículos de oficina</t>
        </is>
      </c>
      <c r="E26" s="233" t="n">
        <v>800</v>
      </c>
      <c r="F26" s="9" t="n"/>
      <c r="G26" s="4" t="n"/>
      <c r="H26" s="9" t="n"/>
      <c r="I26" s="4" t="n"/>
      <c r="J26" s="9" t="n"/>
      <c r="K26" s="4" t="n"/>
      <c r="L26" s="9" t="n"/>
      <c r="M26" s="4" t="n"/>
      <c r="N26" s="9" t="n"/>
      <c r="O26" s="4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4.25" customHeight="1">
      <c r="A27" s="1" t="n"/>
      <c r="B27" s="9" t="n"/>
      <c r="C27" s="4" t="n"/>
      <c r="D27" s="232" t="inlineStr">
        <is>
          <t>Servicio de limpieza</t>
        </is>
      </c>
      <c r="E27" s="233" t="n">
        <v>1500</v>
      </c>
      <c r="F27" s="9" t="n"/>
      <c r="G27" s="4" t="n"/>
      <c r="H27" s="9" t="n"/>
      <c r="I27" s="4" t="n"/>
      <c r="J27" s="9" t="n"/>
      <c r="K27" s="4" t="n"/>
      <c r="L27" s="9" t="n"/>
      <c r="M27" s="4" t="n"/>
      <c r="N27" s="9" t="n"/>
      <c r="O27" s="4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4.25" customHeight="1">
      <c r="A28" s="1" t="n"/>
      <c r="B28" s="9" t="n"/>
      <c r="C28" s="4" t="n"/>
      <c r="D28" s="232" t="inlineStr">
        <is>
          <t>Comisiones bancarias / TPV</t>
        </is>
      </c>
      <c r="E28" s="233" t="n">
        <v>2000</v>
      </c>
      <c r="F28" s="9" t="n"/>
      <c r="G28" s="4" t="n"/>
      <c r="H28" s="9" t="n"/>
      <c r="I28" s="4" t="n"/>
      <c r="J28" s="9" t="n"/>
      <c r="K28" s="4" t="n"/>
      <c r="L28" s="9" t="n"/>
      <c r="M28" s="4" t="n"/>
      <c r="N28" s="9" t="n"/>
      <c r="O28" s="4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4.25" customHeight="1">
      <c r="A29" s="1" t="n"/>
      <c r="B29" s="9" t="n"/>
      <c r="C29" s="4" t="n"/>
      <c r="D29" s="232" t="inlineStr">
        <is>
          <t>Capacitación y certificación continua</t>
        </is>
      </c>
      <c r="E29" s="233" t="n">
        <v>2000</v>
      </c>
      <c r="F29" s="9" t="n"/>
      <c r="G29" s="4" t="n"/>
      <c r="H29" s="9" t="n"/>
      <c r="I29" s="4" t="n"/>
      <c r="J29" s="9" t="n"/>
      <c r="K29" s="4" t="n"/>
      <c r="L29" s="9" t="n"/>
      <c r="M29" s="4" t="n"/>
      <c r="N29" s="9" t="n"/>
      <c r="O29" s="4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4.25" customHeight="1">
      <c r="A30" s="1" t="n"/>
      <c r="B30" s="9" t="n"/>
      <c r="C30" s="4" t="n"/>
      <c r="D30" s="9" t="n"/>
      <c r="E30" s="4" t="n"/>
      <c r="F30" s="9" t="n"/>
      <c r="G30" s="4" t="n"/>
      <c r="H30" s="9" t="n"/>
      <c r="I30" s="4" t="n"/>
      <c r="J30" s="9" t="n"/>
      <c r="K30" s="4" t="n"/>
      <c r="L30" s="9" t="n"/>
      <c r="M30" s="4" t="n"/>
      <c r="N30" s="9" t="n"/>
      <c r="O30" s="4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4.25" customHeight="1">
      <c r="A31" s="1" t="n"/>
      <c r="B31" s="9" t="n"/>
      <c r="C31" s="4" t="n"/>
      <c r="D31" s="9" t="n"/>
      <c r="E31" s="4" t="n"/>
      <c r="F31" s="9" t="n"/>
      <c r="G31" s="4" t="n"/>
      <c r="H31" s="9" t="n"/>
      <c r="I31" s="4" t="n"/>
      <c r="J31" s="9" t="n"/>
      <c r="K31" s="4" t="n"/>
      <c r="L31" s="9" t="n"/>
      <c r="M31" s="4" t="n"/>
      <c r="N31" s="9" t="n"/>
      <c r="O31" s="4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4.25" customHeight="1">
      <c r="A32" s="1" t="n"/>
      <c r="B32" s="9" t="n"/>
      <c r="C32" s="4" t="n"/>
      <c r="D32" s="9" t="n"/>
      <c r="E32" s="4" t="n"/>
      <c r="F32" s="9" t="n"/>
      <c r="G32" s="4" t="n"/>
      <c r="H32" s="9" t="n"/>
      <c r="I32" s="4" t="n"/>
      <c r="J32" s="9" t="n"/>
      <c r="K32" s="4" t="n"/>
      <c r="L32" s="9" t="n"/>
      <c r="M32" s="4" t="n"/>
      <c r="N32" s="9" t="n"/>
      <c r="O32" s="4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>
      <c r="A33" s="1" t="n"/>
      <c r="B33" s="9" t="n"/>
      <c r="C33" s="4" t="n"/>
      <c r="D33" s="9" t="n"/>
      <c r="E33" s="4" t="n"/>
      <c r="F33" s="9" t="n"/>
      <c r="G33" s="4" t="n"/>
      <c r="H33" s="9" t="n"/>
      <c r="I33" s="4" t="n"/>
      <c r="J33" s="9" t="n"/>
      <c r="K33" s="4" t="n"/>
      <c r="L33" s="9" t="n"/>
      <c r="M33" s="4" t="n"/>
      <c r="N33" s="9" t="n"/>
      <c r="O33" s="4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>
      <c r="A34" s="1" t="n"/>
      <c r="B34" s="9" t="n"/>
      <c r="C34" s="4" t="n"/>
      <c r="D34" s="9" t="n"/>
      <c r="E34" s="4" t="n"/>
      <c r="F34" s="9" t="n"/>
      <c r="G34" s="4" t="n"/>
      <c r="H34" s="9" t="n"/>
      <c r="I34" s="4" t="n"/>
      <c r="J34" s="9" t="n"/>
      <c r="K34" s="4" t="n"/>
      <c r="L34" s="9" t="n"/>
      <c r="M34" s="4" t="n"/>
      <c r="N34" s="9" t="n"/>
      <c r="O34" s="4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>
      <c r="A35" s="1" t="n"/>
      <c r="B35" s="9" t="n"/>
      <c r="C35" s="4" t="n"/>
      <c r="D35" s="9" t="n"/>
      <c r="E35" s="4" t="n"/>
      <c r="F35" s="9" t="n"/>
      <c r="G35" s="4" t="n"/>
      <c r="H35" s="9" t="n"/>
      <c r="I35" s="4" t="n"/>
      <c r="J35" s="9" t="n"/>
      <c r="K35" s="4" t="n"/>
      <c r="L35" s="9" t="n"/>
      <c r="M35" s="4" t="n"/>
      <c r="N35" s="9" t="n"/>
      <c r="O35" s="4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>
      <c r="A36" s="1" t="n"/>
      <c r="B36" s="9" t="n"/>
      <c r="C36" s="4" t="n"/>
      <c r="D36" s="9" t="n"/>
      <c r="E36" s="4" t="n"/>
      <c r="F36" s="9" t="n"/>
      <c r="G36" s="4" t="n"/>
      <c r="H36" s="9" t="n"/>
      <c r="I36" s="4" t="n"/>
      <c r="J36" s="9" t="n"/>
      <c r="K36" s="4" t="n"/>
      <c r="L36" s="9" t="n"/>
      <c r="M36" s="4" t="n"/>
      <c r="N36" s="9" t="n"/>
      <c r="O36" s="4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>
      <c r="A37" s="1" t="n"/>
      <c r="B37" s="9" t="n"/>
      <c r="C37" s="4" t="n"/>
      <c r="D37" s="9" t="n"/>
      <c r="E37" s="4" t="n"/>
      <c r="F37" s="9" t="n"/>
      <c r="G37" s="4" t="n"/>
      <c r="H37" s="9" t="n"/>
      <c r="I37" s="4" t="n"/>
      <c r="J37" s="9" t="n"/>
      <c r="K37" s="4" t="n"/>
      <c r="L37" s="9" t="n"/>
      <c r="M37" s="4" t="n"/>
      <c r="N37" s="9" t="n"/>
      <c r="O37" s="4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>
      <c r="A38" s="1" t="n"/>
      <c r="B38" s="9" t="n"/>
      <c r="C38" s="4" t="n"/>
      <c r="D38" s="9" t="n"/>
      <c r="E38" s="4" t="n"/>
      <c r="F38" s="9" t="n"/>
      <c r="G38" s="4" t="n"/>
      <c r="H38" s="9" t="n"/>
      <c r="I38" s="4" t="n"/>
      <c r="J38" s="9" t="n"/>
      <c r="K38" s="4" t="n"/>
      <c r="L38" s="9" t="n"/>
      <c r="M38" s="4" t="n"/>
      <c r="N38" s="9" t="n"/>
      <c r="O38" s="4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>
      <c r="A39" s="1" t="n"/>
      <c r="B39" s="9" t="n"/>
      <c r="C39" s="4" t="n"/>
      <c r="D39" s="9" t="n"/>
      <c r="E39" s="4" t="n"/>
      <c r="F39" s="9" t="n"/>
      <c r="G39" s="4" t="n"/>
      <c r="H39" s="9" t="n"/>
      <c r="I39" s="4" t="n"/>
      <c r="J39" s="9" t="n"/>
      <c r="K39" s="4" t="n"/>
      <c r="L39" s="9" t="n"/>
      <c r="M39" s="4" t="n"/>
      <c r="N39" s="9" t="n"/>
      <c r="O39" s="4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>
      <c r="A40" s="1" t="n"/>
      <c r="B40" s="9" t="n"/>
      <c r="C40" s="4" t="n"/>
      <c r="D40" s="9" t="n"/>
      <c r="E40" s="4" t="n"/>
      <c r="F40" s="9" t="n"/>
      <c r="G40" s="4" t="n"/>
      <c r="H40" s="9" t="n"/>
      <c r="I40" s="4" t="n"/>
      <c r="J40" s="9" t="n"/>
      <c r="K40" s="4" t="n"/>
      <c r="L40" s="9" t="n"/>
      <c r="M40" s="4" t="n"/>
      <c r="N40" s="9" t="n"/>
      <c r="O40" s="4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>
      <c r="A41" s="1" t="n"/>
      <c r="B41" s="9" t="n"/>
      <c r="C41" s="4" t="n"/>
      <c r="D41" s="9" t="n"/>
      <c r="E41" s="4" t="n"/>
      <c r="F41" s="9" t="n"/>
      <c r="G41" s="4" t="n"/>
      <c r="H41" s="9" t="n"/>
      <c r="I41" s="4" t="n"/>
      <c r="J41" s="9" t="n"/>
      <c r="K41" s="4" t="n"/>
      <c r="L41" s="9" t="n"/>
      <c r="M41" s="4" t="n"/>
      <c r="N41" s="9" t="n"/>
      <c r="O41" s="4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>
      <c r="A42" s="1" t="n"/>
      <c r="B42" s="9" t="n"/>
      <c r="C42" s="4" t="n"/>
      <c r="D42" s="9" t="n"/>
      <c r="E42" s="4" t="n"/>
      <c r="F42" s="9" t="n"/>
      <c r="G42" s="4" t="n"/>
      <c r="H42" s="9" t="n"/>
      <c r="I42" s="4" t="n"/>
      <c r="J42" s="9" t="n"/>
      <c r="K42" s="4" t="n"/>
      <c r="L42" s="9" t="n"/>
      <c r="M42" s="4" t="n"/>
      <c r="N42" s="9" t="n"/>
      <c r="O42" s="4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>
      <c r="A43" s="1" t="n"/>
      <c r="B43" s="9" t="n"/>
      <c r="C43" s="4" t="n"/>
      <c r="D43" s="9" t="n"/>
      <c r="E43" s="4" t="n"/>
      <c r="F43" s="9" t="n"/>
      <c r="G43" s="4" t="n"/>
      <c r="H43" s="9" t="n"/>
      <c r="I43" s="4" t="n"/>
      <c r="J43" s="9" t="n"/>
      <c r="K43" s="4" t="n"/>
      <c r="L43" s="9" t="n"/>
      <c r="M43" s="4" t="n"/>
      <c r="N43" s="9" t="n"/>
      <c r="O43" s="4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>
      <c r="A44" s="1" t="n"/>
      <c r="B44" s="9" t="n"/>
      <c r="C44" s="4" t="n"/>
      <c r="D44" s="9" t="n"/>
      <c r="E44" s="4" t="n"/>
      <c r="F44" s="9" t="n"/>
      <c r="G44" s="4" t="n"/>
      <c r="H44" s="9" t="n"/>
      <c r="I44" s="4" t="n"/>
      <c r="J44" s="9" t="n"/>
      <c r="K44" s="4" t="n"/>
      <c r="L44" s="9" t="n"/>
      <c r="M44" s="4" t="n"/>
      <c r="N44" s="9" t="n"/>
      <c r="O44" s="4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>
      <c r="A45" s="1" t="n"/>
      <c r="B45" s="9" t="n"/>
      <c r="C45" s="4" t="n"/>
      <c r="D45" s="9" t="n"/>
      <c r="E45" s="4" t="n"/>
      <c r="F45" s="9" t="n"/>
      <c r="G45" s="4" t="n"/>
      <c r="H45" s="9" t="n"/>
      <c r="I45" s="4" t="n"/>
      <c r="J45" s="9" t="n"/>
      <c r="K45" s="4" t="n"/>
      <c r="L45" s="9" t="n"/>
      <c r="M45" s="4" t="n"/>
      <c r="N45" s="9" t="n"/>
      <c r="O45" s="4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>
      <c r="A46" s="1" t="n"/>
      <c r="B46" s="9" t="n"/>
      <c r="C46" s="4" t="n"/>
      <c r="D46" s="9" t="n"/>
      <c r="E46" s="4" t="n"/>
      <c r="F46" s="9" t="n"/>
      <c r="G46" s="4" t="n"/>
      <c r="H46" s="9" t="n"/>
      <c r="I46" s="4" t="n"/>
      <c r="J46" s="9" t="n"/>
      <c r="K46" s="4" t="n"/>
      <c r="L46" s="9" t="n"/>
      <c r="M46" s="4" t="n"/>
      <c r="N46" s="9" t="n"/>
      <c r="O46" s="4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>
      <c r="A47" s="1" t="n"/>
      <c r="B47" s="9" t="n"/>
      <c r="C47" s="4" t="n"/>
      <c r="D47" s="9" t="n"/>
      <c r="E47" s="4" t="n"/>
      <c r="F47" s="9" t="n"/>
      <c r="G47" s="4" t="n"/>
      <c r="H47" s="9" t="n"/>
      <c r="I47" s="4" t="n"/>
      <c r="J47" s="9" t="n"/>
      <c r="K47" s="4" t="n"/>
      <c r="L47" s="9" t="n"/>
      <c r="M47" s="4" t="n"/>
      <c r="N47" s="9" t="n"/>
      <c r="O47" s="4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>
      <c r="A48" s="1" t="n"/>
      <c r="B48" s="9" t="n"/>
      <c r="C48" s="4" t="n"/>
      <c r="D48" s="9" t="n"/>
      <c r="E48" s="4" t="n"/>
      <c r="F48" s="9" t="n"/>
      <c r="G48" s="4" t="n"/>
      <c r="H48" s="9" t="n"/>
      <c r="I48" s="4" t="n"/>
      <c r="J48" s="9" t="n"/>
      <c r="K48" s="4" t="n"/>
      <c r="L48" s="9" t="n"/>
      <c r="M48" s="4" t="n"/>
      <c r="N48" s="9" t="n"/>
      <c r="O48" s="4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>
      <c r="A49" s="1" t="n"/>
      <c r="B49" s="9" t="n"/>
      <c r="C49" s="4" t="n"/>
      <c r="D49" s="9" t="n"/>
      <c r="E49" s="4" t="n"/>
      <c r="F49" s="9" t="n"/>
      <c r="G49" s="4" t="n"/>
      <c r="H49" s="9" t="n"/>
      <c r="I49" s="4" t="n"/>
      <c r="J49" s="9" t="n"/>
      <c r="K49" s="4" t="n"/>
      <c r="L49" s="9" t="n"/>
      <c r="M49" s="4" t="n"/>
      <c r="N49" s="9" t="n"/>
      <c r="O49" s="4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>
      <c r="A50" s="1" t="n"/>
      <c r="B50" s="9" t="n"/>
      <c r="C50" s="4" t="n"/>
      <c r="D50" s="9" t="n"/>
      <c r="E50" s="4" t="n"/>
      <c r="F50" s="9" t="n"/>
      <c r="G50" s="4" t="n"/>
      <c r="H50" s="9" t="n"/>
      <c r="I50" s="4" t="n"/>
      <c r="J50" s="9" t="n"/>
      <c r="K50" s="4" t="n"/>
      <c r="L50" s="9" t="n"/>
      <c r="M50" s="4" t="n"/>
      <c r="N50" s="9" t="n"/>
      <c r="O50" s="4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>
      <c r="A51" s="1" t="n"/>
      <c r="B51" s="9" t="n"/>
      <c r="C51" s="4" t="n"/>
      <c r="D51" s="9" t="n"/>
      <c r="E51" s="4" t="n"/>
      <c r="F51" s="9" t="n"/>
      <c r="G51" s="4" t="n"/>
      <c r="H51" s="9" t="n"/>
      <c r="I51" s="4" t="n"/>
      <c r="J51" s="9" t="n"/>
      <c r="K51" s="4" t="n"/>
      <c r="L51" s="9" t="n"/>
      <c r="M51" s="4" t="n"/>
      <c r="N51" s="9" t="n"/>
      <c r="O51" s="4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>
      <c r="A52" s="1" t="n"/>
      <c r="B52" s="9" t="n"/>
      <c r="C52" s="4" t="n"/>
      <c r="D52" s="9" t="n"/>
      <c r="E52" s="4" t="n"/>
      <c r="F52" s="9" t="n"/>
      <c r="G52" s="4" t="n"/>
      <c r="H52" s="9" t="n"/>
      <c r="I52" s="4" t="n"/>
      <c r="J52" s="9" t="n"/>
      <c r="K52" s="4" t="n"/>
      <c r="L52" s="9" t="n"/>
      <c r="M52" s="4" t="n"/>
      <c r="N52" s="9" t="n"/>
      <c r="O52" s="4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  <row r="1001" ht="14.25" customHeight="1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  <c r="Z1001" s="1" t="n"/>
    </row>
  </sheetData>
  <mergeCells count="9">
    <mergeCell ref="B2:C2"/>
    <mergeCell ref="D4:E5"/>
    <mergeCell ref="J5:K5"/>
    <mergeCell ref="F5:G5"/>
    <mergeCell ref="F4:O4"/>
    <mergeCell ref="H5:I5"/>
    <mergeCell ref="L5:M5"/>
    <mergeCell ref="N5:O5"/>
    <mergeCell ref="B4:C5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2F5496"/>
    <outlinePr summaryBelow="1" summaryRight="1"/>
    <pageSetUpPr/>
  </sheetPr>
  <dimension ref="A2:S941"/>
  <sheetViews>
    <sheetView showGridLines="0" topLeftCell="A8" zoomScale="130" zoomScaleNormal="130" workbookViewId="0">
      <selection activeCell="A15" sqref="A15:XFD74"/>
    </sheetView>
  </sheetViews>
  <sheetFormatPr baseColWidth="10" defaultColWidth="14.453125" defaultRowHeight="15" customHeight="1"/>
  <cols>
    <col width="11.453125" customWidth="1" min="1" max="1"/>
    <col width="3.7265625" customWidth="1" min="2" max="2"/>
    <col width="39.1796875" customWidth="1" min="3" max="3"/>
    <col width="11.453125" customWidth="1" min="4" max="19"/>
  </cols>
  <sheetData>
    <row r="1" ht="15" customHeight="1" thickBot="1"/>
    <row r="2" ht="30.75" customHeight="1" thickBot="1">
      <c r="A2" s="1" t="n"/>
      <c r="B2" s="243" t="inlineStr">
        <is>
          <t>Costeo basado en actividades</t>
        </is>
      </c>
      <c r="C2" s="168" t="inlineStr">
        <is>
          <t>Productos</t>
        </is>
      </c>
      <c r="D2" s="170">
        <f>+OPEX!F5</f>
        <v/>
      </c>
      <c r="E2" s="171">
        <f>+OPEX!H5</f>
        <v/>
      </c>
      <c r="F2" s="170">
        <f>+OPEX!J5</f>
        <v/>
      </c>
      <c r="G2" s="171">
        <f>+OPEX!L5</f>
        <v/>
      </c>
      <c r="H2" s="170">
        <f>+OPEX!N5</f>
        <v/>
      </c>
      <c r="I2" s="169" t="inlineStr">
        <is>
          <t>Costo de actividad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 ht="14.25" customHeight="1" thickBot="1">
      <c r="A3" s="1" t="n"/>
      <c r="B3" s="244" t="n"/>
      <c r="C3" s="14" t="inlineStr">
        <is>
          <t>% de asignación</t>
        </is>
      </c>
      <c r="D3" s="245" t="n">
        <v>0.65</v>
      </c>
      <c r="E3" s="245" t="n">
        <v>0.35</v>
      </c>
      <c r="F3" s="15" t="n"/>
      <c r="G3" s="16" t="n"/>
      <c r="H3" s="17" t="n"/>
      <c r="I3" s="18">
        <f>+SUM(D3:H3)</f>
        <v/>
      </c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</row>
    <row r="4" ht="14.25" customHeight="1" thickBot="1">
      <c r="A4" s="1" t="n"/>
      <c r="B4" s="244" t="n"/>
      <c r="C4" s="14" t="inlineStr">
        <is>
          <t>Sueldos</t>
        </is>
      </c>
      <c r="D4" s="19">
        <f>+$I$4*D3</f>
        <v/>
      </c>
      <c r="E4" s="19">
        <f>+$I$4*E3</f>
        <v/>
      </c>
      <c r="F4" s="19">
        <f>+$I$4*F3</f>
        <v/>
      </c>
      <c r="G4" s="19">
        <f>+$I$4*G3</f>
        <v/>
      </c>
      <c r="H4" s="19">
        <f>+$I$4*H3</f>
        <v/>
      </c>
      <c r="I4" s="20">
        <f>+OPEX!C7</f>
        <v/>
      </c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14.25" customHeight="1" thickBot="1">
      <c r="A5" s="1" t="n"/>
      <c r="B5" s="244" t="n"/>
      <c r="C5" s="14" t="inlineStr">
        <is>
          <t>% de asignación CIF</t>
        </is>
      </c>
      <c r="D5" s="245" t="n">
        <v>0.65</v>
      </c>
      <c r="E5" s="245" t="n">
        <v>0.35</v>
      </c>
      <c r="F5" s="17" t="n"/>
      <c r="G5" s="21" t="n"/>
      <c r="H5" s="17" t="n"/>
      <c r="I5" s="22">
        <f>+SUM(D5:H5)</f>
        <v/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</row>
    <row r="6" ht="14.25" customHeight="1">
      <c r="A6" s="1" t="n"/>
      <c r="B6" s="244" t="n"/>
      <c r="C6" s="14" t="inlineStr">
        <is>
          <t>Costos indirectos de fábrica</t>
        </is>
      </c>
      <c r="D6" s="23">
        <f>+$I$6*D5</f>
        <v/>
      </c>
      <c r="E6" s="23">
        <f>+$I$6*E5</f>
        <v/>
      </c>
      <c r="F6" s="23">
        <f>+$I$6*F5</f>
        <v/>
      </c>
      <c r="G6" s="23">
        <f>+$I$6*G5</f>
        <v/>
      </c>
      <c r="H6" s="23">
        <f>+$I$6*H5</f>
        <v/>
      </c>
      <c r="I6" s="24">
        <f>+OPEX!E7</f>
        <v/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</row>
    <row r="7" ht="14.25" customHeight="1">
      <c r="A7" s="1" t="n"/>
      <c r="B7" s="244" t="n"/>
      <c r="C7" s="14" t="inlineStr">
        <is>
          <t>Total</t>
        </is>
      </c>
      <c r="D7" s="25">
        <f>+D6+D4</f>
        <v/>
      </c>
      <c r="E7" s="25">
        <f>+E6+E4</f>
        <v/>
      </c>
      <c r="F7" s="25">
        <f>+F6+F4</f>
        <v/>
      </c>
      <c r="G7" s="26">
        <f>+G6+G4</f>
        <v/>
      </c>
      <c r="H7" s="25">
        <f>+H6+H4</f>
        <v/>
      </c>
      <c r="I7" s="25">
        <f>+I6+I4</f>
        <v/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</row>
    <row r="8" ht="14.25" customHeight="1">
      <c r="A8" s="1" t="n"/>
      <c r="B8" s="244" t="n"/>
      <c r="C8" s="14" t="inlineStr">
        <is>
          <t>Material directo</t>
        </is>
      </c>
      <c r="D8" s="23">
        <f>+OPEX!G7</f>
        <v/>
      </c>
      <c r="E8" s="27">
        <f>+OPEX!I7</f>
        <v/>
      </c>
      <c r="F8" s="23">
        <f>+OPEX!K7</f>
        <v/>
      </c>
      <c r="G8" s="27">
        <f>+OPEX!M7</f>
        <v/>
      </c>
      <c r="H8" s="23">
        <f>+OPEX!O7</f>
        <v/>
      </c>
      <c r="I8" s="246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</row>
    <row r="9" ht="14.25" customHeight="1" thickBot="1">
      <c r="A9" s="1" t="n"/>
      <c r="B9" s="244" t="n"/>
      <c r="C9" s="14" t="inlineStr">
        <is>
          <t>Unidades producidas mensualmente</t>
        </is>
      </c>
      <c r="D9" s="247" t="n">
        <v>17</v>
      </c>
      <c r="E9" s="247" t="n">
        <v>13</v>
      </c>
      <c r="F9" s="248" t="n"/>
      <c r="G9" s="249" t="n"/>
      <c r="H9" s="248" t="n"/>
      <c r="I9" s="244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</row>
    <row r="10" ht="14.25" customHeight="1" thickBot="1">
      <c r="A10" s="1" t="n"/>
      <c r="B10" s="244" t="n"/>
      <c r="C10" s="13" t="inlineStr">
        <is>
          <t>Costo unitario</t>
        </is>
      </c>
      <c r="D10" s="250">
        <f>+D8+IF(D9&gt;0,D7/D9,0)</f>
        <v/>
      </c>
      <c r="E10" s="250">
        <f>+E8+IF(E9&gt;0,E7/E9,0)</f>
        <v/>
      </c>
      <c r="F10" s="251" t="n"/>
      <c r="G10" s="251" t="n"/>
      <c r="H10" s="251" t="n"/>
      <c r="I10" s="244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</row>
    <row r="11" ht="14.25" customHeight="1" thickBot="1">
      <c r="A11" s="1" t="n"/>
      <c r="B11" s="244" t="n"/>
      <c r="C11" s="13" t="inlineStr">
        <is>
          <t>Precio</t>
        </is>
      </c>
      <c r="D11" s="252" t="n">
        <v>112000</v>
      </c>
      <c r="E11" s="252" t="n">
        <v>13500</v>
      </c>
      <c r="F11" s="251" t="n"/>
      <c r="G11" s="251" t="n"/>
      <c r="H11" s="251" t="n"/>
      <c r="I11" s="244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</row>
    <row r="12" ht="14.25" customHeight="1" thickBot="1">
      <c r="A12" s="1" t="n"/>
      <c r="B12" s="244" t="n"/>
      <c r="C12" s="13" t="inlineStr">
        <is>
          <t>Margen</t>
        </is>
      </c>
      <c r="D12" s="253">
        <f>+D11-D10</f>
        <v/>
      </c>
      <c r="E12" s="253">
        <f>+E11-E10</f>
        <v/>
      </c>
      <c r="F12" s="190" t="n"/>
      <c r="G12" s="190" t="n"/>
      <c r="H12" s="190" t="n"/>
      <c r="I12" s="244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</row>
    <row r="13" ht="14.25" customHeight="1" thickBot="1">
      <c r="A13" s="1" t="n"/>
      <c r="B13" s="254" t="n"/>
      <c r="C13" s="13" t="inlineStr">
        <is>
          <t>Punto de equilibrio</t>
        </is>
      </c>
      <c r="D13" s="255">
        <f>+IF((D11-D8)&gt;0,D7/(D11-D8),0)</f>
        <v/>
      </c>
      <c r="E13" s="255">
        <f>+IF((E11-E8)&gt;0,E7/(E11-E8),0)</f>
        <v/>
      </c>
      <c r="F13" s="256" t="n"/>
      <c r="G13" s="256" t="n"/>
      <c r="H13" s="256" t="n"/>
      <c r="I13" s="254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</row>
    <row r="14" ht="14.25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</row>
    <row r="15" ht="14.25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</row>
    <row r="16" ht="14.25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</row>
    <row r="17" ht="14.25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</row>
    <row r="18" ht="14.25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</row>
    <row r="19" ht="14.25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</row>
    <row r="20" ht="14.25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</row>
    <row r="21" ht="14.25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</row>
    <row r="22" ht="14.25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</row>
    <row r="23" ht="14.25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</row>
    <row r="24" ht="14.25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</row>
    <row r="25" ht="14.25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</row>
    <row r="26" ht="14.25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</row>
    <row r="27" ht="14.2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</row>
    <row r="28" ht="14.2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</row>
    <row r="29" ht="14.2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</row>
    <row r="30" ht="14.2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</row>
    <row r="31" ht="14.2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</row>
    <row r="32" ht="14.2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</row>
    <row r="33" ht="14.2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</row>
    <row r="34" ht="14.2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</row>
    <row r="35" ht="14.2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</row>
    <row r="36" ht="14.2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</row>
    <row r="37" ht="14.2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</row>
    <row r="38" ht="14.2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</row>
    <row r="39" ht="14.2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</row>
    <row r="40" ht="14.2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</row>
    <row r="41" ht="14.25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</row>
    <row r="42" ht="14.25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</row>
    <row r="43" ht="14.25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</row>
    <row r="44" ht="14.25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</row>
    <row r="45" ht="14.2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</row>
    <row r="46" ht="14.2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</row>
    <row r="47" ht="14.2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</row>
    <row r="48" ht="14.2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</row>
    <row r="49" ht="14.25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</row>
    <row r="50" ht="14.2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</row>
    <row r="51" ht="14.2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</row>
    <row r="52" ht="14.2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</row>
    <row r="53" ht="14.2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</row>
    <row r="54" ht="14.2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</row>
    <row r="55" ht="14.2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</row>
    <row r="56" ht="14.2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</row>
    <row r="57" ht="14.2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</row>
    <row r="58" ht="14.2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</row>
    <row r="59" ht="14.2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</row>
    <row r="60" ht="14.2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</row>
    <row r="61" ht="14.2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</row>
    <row r="62" ht="14.2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</row>
    <row r="63" ht="14.2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</row>
    <row r="64" ht="14.2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</row>
    <row r="65" ht="14.2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</row>
    <row r="66" ht="14.2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</row>
    <row r="67" ht="14.2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</row>
    <row r="68" ht="14.2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</row>
    <row r="69" ht="14.2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</row>
    <row r="70" ht="14.2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</row>
    <row r="71" ht="14.2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</row>
    <row r="72" ht="14.2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</row>
    <row r="73" ht="14.2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</row>
    <row r="74" ht="14.2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</row>
    <row r="75" ht="14.2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</row>
    <row r="76" ht="14.2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</row>
    <row r="77" ht="14.2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</row>
    <row r="78" ht="14.2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</row>
    <row r="79" ht="14.2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</row>
    <row r="80" ht="14.2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</row>
    <row r="81" ht="14.2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</row>
    <row r="82" ht="14.2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</row>
    <row r="83" ht="14.2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</row>
    <row r="84" ht="14.2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</row>
    <row r="85" ht="14.2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</row>
    <row r="86" ht="14.2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</row>
    <row r="87" ht="14.2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</row>
    <row r="88" ht="14.2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</row>
    <row r="89" ht="14.2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</row>
    <row r="90" ht="14.2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</row>
    <row r="91" ht="14.2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</row>
    <row r="92" ht="14.2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</row>
    <row r="93" ht="14.2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</row>
    <row r="94" ht="14.2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</row>
    <row r="95" ht="14.2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</row>
    <row r="96" ht="14.2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</row>
    <row r="97" ht="14.2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</row>
    <row r="98" ht="14.2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</row>
    <row r="99" ht="14.2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</row>
    <row r="100" ht="14.2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</row>
    <row r="101" ht="14.2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</row>
    <row r="102" ht="14.2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</row>
    <row r="103" ht="14.2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</row>
    <row r="104" ht="14.2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</row>
    <row r="105" ht="14.2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</row>
    <row r="106" ht="14.2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</row>
    <row r="107" ht="14.2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</row>
    <row r="108" ht="14.2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</row>
    <row r="109" ht="14.2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</row>
    <row r="110" ht="14.2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</row>
    <row r="111" ht="14.2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</row>
    <row r="112" ht="14.2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</row>
    <row r="113" ht="14.2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</row>
    <row r="114" ht="14.2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</row>
    <row r="115" ht="14.2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</row>
    <row r="116" ht="14.2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</row>
    <row r="117" ht="14.2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</row>
    <row r="118" ht="14.2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</row>
    <row r="119" ht="14.2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</row>
    <row r="120" ht="14.2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</row>
    <row r="121" ht="14.2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</row>
    <row r="122" ht="14.2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</row>
    <row r="123" ht="14.2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</row>
    <row r="124" ht="14.2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</row>
    <row r="125" ht="14.2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</row>
    <row r="126" ht="14.2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</row>
    <row r="127" ht="14.2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</row>
    <row r="128" ht="14.2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</row>
    <row r="129" ht="14.2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</row>
    <row r="130" ht="14.2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</row>
    <row r="131" ht="14.2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</row>
    <row r="132" ht="14.2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</row>
    <row r="133" ht="14.2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</row>
    <row r="134" ht="14.2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</row>
    <row r="135" ht="14.2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</row>
    <row r="136" ht="14.2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</row>
    <row r="137" ht="14.2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</row>
    <row r="138" ht="14.2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</row>
    <row r="139" ht="14.2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</row>
    <row r="140" ht="14.2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</row>
    <row r="141" ht="14.2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</row>
    <row r="142" ht="14.2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</row>
    <row r="143" ht="14.2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</row>
    <row r="144" ht="14.2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</row>
    <row r="145" ht="14.2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</row>
    <row r="146" ht="14.2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</row>
    <row r="147" ht="14.2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</row>
    <row r="148" ht="14.2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</row>
    <row r="149" ht="14.2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</row>
    <row r="150" ht="14.2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</row>
    <row r="151" ht="14.2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</row>
    <row r="152" ht="14.2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</row>
    <row r="153" ht="14.2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</row>
    <row r="154" ht="14.2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</row>
    <row r="155" ht="14.2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</row>
    <row r="156" ht="14.2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</row>
    <row r="157" ht="14.2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</row>
    <row r="158" ht="14.2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</row>
    <row r="159" ht="14.2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</row>
    <row r="160" ht="14.2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</row>
    <row r="161" ht="14.2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</row>
    <row r="162" ht="14.2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</row>
    <row r="163" ht="14.2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</row>
    <row r="164" ht="14.2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</row>
    <row r="165" ht="14.2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</row>
    <row r="166" ht="14.2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</row>
    <row r="167" ht="14.2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</row>
    <row r="168" ht="14.2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</row>
    <row r="169" ht="14.2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</row>
    <row r="170" ht="14.2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</row>
    <row r="171" ht="14.2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</row>
    <row r="172" ht="14.2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</row>
    <row r="173" ht="14.2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</row>
    <row r="174" ht="14.2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</row>
    <row r="175" ht="14.2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</row>
    <row r="176" ht="14.2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</row>
    <row r="177" ht="14.2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</row>
    <row r="178" ht="14.2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</row>
    <row r="179" ht="14.2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</row>
    <row r="180" ht="14.2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</row>
    <row r="181" ht="14.2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</row>
    <row r="182" ht="14.2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</row>
    <row r="183" ht="14.2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</row>
    <row r="184" ht="14.2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</row>
    <row r="185" ht="14.2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</row>
    <row r="186" ht="14.2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</row>
    <row r="187" ht="14.2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</row>
    <row r="188" ht="14.2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</row>
    <row r="189" ht="14.2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</row>
    <row r="190" ht="14.2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</row>
    <row r="191" ht="14.2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</row>
    <row r="192" ht="14.2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</row>
    <row r="193" ht="14.2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</row>
    <row r="194" ht="14.2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</row>
    <row r="195" ht="14.2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</row>
    <row r="196" ht="14.2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</row>
    <row r="197" ht="14.2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</row>
    <row r="198" ht="14.2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</row>
    <row r="199" ht="14.2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</row>
    <row r="200" ht="14.2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</row>
    <row r="201" ht="14.2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</row>
    <row r="202" ht="14.2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</row>
    <row r="203" ht="14.2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</row>
    <row r="204" ht="14.2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</row>
    <row r="205" ht="14.2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</row>
    <row r="206" ht="14.2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</row>
    <row r="207" ht="14.2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</row>
    <row r="208" ht="14.2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</row>
    <row r="209" ht="14.2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</row>
    <row r="210" ht="14.2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</row>
    <row r="211" ht="14.2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</row>
    <row r="212" ht="14.2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</row>
    <row r="213" ht="14.2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</row>
    <row r="214" ht="14.2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</row>
    <row r="215" ht="14.2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</row>
    <row r="216" ht="14.2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</row>
    <row r="217" ht="14.2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</row>
    <row r="218" ht="14.2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</row>
    <row r="219" ht="14.2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</row>
    <row r="220" ht="14.2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</row>
    <row r="221" ht="14.2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</row>
    <row r="222" ht="14.2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</row>
    <row r="223" ht="14.2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</row>
    <row r="224" ht="14.2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</row>
    <row r="225" ht="14.2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</row>
    <row r="226" ht="14.2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</row>
    <row r="227" ht="14.2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</row>
    <row r="228" ht="14.2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</row>
    <row r="229" ht="14.2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</row>
    <row r="230" ht="14.2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</row>
    <row r="231" ht="14.2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</row>
    <row r="232" ht="14.2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</row>
    <row r="233" ht="14.2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</row>
    <row r="234" ht="14.2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</row>
    <row r="235" ht="14.2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</row>
    <row r="236" ht="14.2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</row>
    <row r="237" ht="14.2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</row>
    <row r="238" ht="14.2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</row>
    <row r="239" ht="14.2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</row>
    <row r="240" ht="14.2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</row>
    <row r="241" ht="14.2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</row>
    <row r="242" ht="14.2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</row>
    <row r="243" ht="14.2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</row>
    <row r="244" ht="14.2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</row>
    <row r="245" ht="14.2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</row>
    <row r="246" ht="14.2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</row>
    <row r="247" ht="14.2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</row>
    <row r="248" ht="14.2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</row>
    <row r="249" ht="14.2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</row>
    <row r="250" ht="14.2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</row>
    <row r="251" ht="14.2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</row>
    <row r="252" ht="14.2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</row>
    <row r="253" ht="14.2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</row>
    <row r="254" ht="14.2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</row>
    <row r="255" ht="14.2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</row>
    <row r="256" ht="14.2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</row>
    <row r="257" ht="14.2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</row>
    <row r="258" ht="14.2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</row>
    <row r="259" ht="14.2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</row>
    <row r="260" ht="14.2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</row>
    <row r="261" ht="14.2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</row>
    <row r="262" ht="14.2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</row>
    <row r="263" ht="14.2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</row>
    <row r="264" ht="14.2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</row>
    <row r="265" ht="14.2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</row>
    <row r="266" ht="14.2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</row>
    <row r="267" ht="14.2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</row>
    <row r="268" ht="14.2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</row>
    <row r="269" ht="14.2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</row>
    <row r="270" ht="14.2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</row>
    <row r="271" ht="14.2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</row>
    <row r="272" ht="14.2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</row>
    <row r="273" ht="14.2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</row>
    <row r="274" ht="14.2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</row>
    <row r="275" ht="14.2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</row>
    <row r="276" ht="14.2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</row>
    <row r="277" ht="14.2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</row>
    <row r="278" ht="14.2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</row>
    <row r="279" ht="14.2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</row>
    <row r="280" ht="14.2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</row>
    <row r="281" ht="14.2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</row>
    <row r="282" ht="14.2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</row>
    <row r="283" ht="14.2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</row>
    <row r="284" ht="14.2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</row>
    <row r="285" ht="14.2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</row>
    <row r="286" ht="14.2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</row>
    <row r="287" ht="14.2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</row>
    <row r="288" ht="14.2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</row>
    <row r="289" ht="14.2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</row>
    <row r="290" ht="14.2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</row>
    <row r="291" ht="14.2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</row>
    <row r="292" ht="14.2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</row>
    <row r="293" ht="14.2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</row>
    <row r="294" ht="14.2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</row>
    <row r="295" ht="14.2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</row>
    <row r="296" ht="14.2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</row>
    <row r="297" ht="14.2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</row>
    <row r="298" ht="14.2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</row>
    <row r="299" ht="14.2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</row>
    <row r="300" ht="14.2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</row>
    <row r="301" ht="14.2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</row>
    <row r="302" ht="14.2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</row>
    <row r="303" ht="14.2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</row>
    <row r="304" ht="14.2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</row>
    <row r="305" ht="14.2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</row>
    <row r="306" ht="14.2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</row>
    <row r="307" ht="14.2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</row>
    <row r="308" ht="14.2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</row>
    <row r="309" ht="14.2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</row>
    <row r="310" ht="14.2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</row>
    <row r="311" ht="14.2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</row>
    <row r="312" ht="14.2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</row>
    <row r="313" ht="14.2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</row>
    <row r="314" ht="14.2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</row>
    <row r="315" ht="14.2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</row>
    <row r="316" ht="14.2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</row>
    <row r="317" ht="14.2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</row>
    <row r="318" ht="14.2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</row>
    <row r="319" ht="14.2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</row>
    <row r="320" ht="14.2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</row>
    <row r="321" ht="14.2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</row>
    <row r="322" ht="14.2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</row>
    <row r="323" ht="14.2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</row>
    <row r="324" ht="14.2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</row>
    <row r="325" ht="14.2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</row>
    <row r="326" ht="14.2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</row>
    <row r="327" ht="14.2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</row>
    <row r="328" ht="14.2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</row>
    <row r="329" ht="14.2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</row>
    <row r="330" ht="14.2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</row>
    <row r="331" ht="14.2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</row>
    <row r="332" ht="14.2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</row>
    <row r="333" ht="14.2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</row>
    <row r="334" ht="14.2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</row>
    <row r="335" ht="14.2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</row>
    <row r="336" ht="14.2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</row>
    <row r="337" ht="14.2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</row>
    <row r="338" ht="14.2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</row>
    <row r="339" ht="14.2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</row>
    <row r="340" ht="14.2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</row>
    <row r="341" ht="14.2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</row>
    <row r="342" ht="14.2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</row>
    <row r="343" ht="14.2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</row>
    <row r="344" ht="14.2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</row>
    <row r="345" ht="14.2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</row>
    <row r="346" ht="14.2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</row>
    <row r="347" ht="14.2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</row>
    <row r="348" ht="14.2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</row>
    <row r="349" ht="14.2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</row>
    <row r="350" ht="14.2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</row>
    <row r="351" ht="14.2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</row>
    <row r="352" ht="14.2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</row>
    <row r="353" ht="14.2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</row>
    <row r="354" ht="14.2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</row>
    <row r="355" ht="14.2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</row>
    <row r="356" ht="14.2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</row>
    <row r="357" ht="14.2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</row>
    <row r="358" ht="14.2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</row>
    <row r="359" ht="14.2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</row>
    <row r="360" ht="14.2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</row>
    <row r="361" ht="14.2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</row>
    <row r="362" ht="14.2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</row>
    <row r="363" ht="14.2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</row>
    <row r="364" ht="14.2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</row>
    <row r="365" ht="14.2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</row>
    <row r="366" ht="14.2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</row>
    <row r="367" ht="14.2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</row>
    <row r="368" ht="14.2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</row>
    <row r="369" ht="14.2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</row>
    <row r="370" ht="14.2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</row>
    <row r="371" ht="14.2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</row>
    <row r="372" ht="14.2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</row>
    <row r="373" ht="14.2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</row>
    <row r="374" ht="14.2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</row>
    <row r="375" ht="14.2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</row>
    <row r="376" ht="14.2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</row>
    <row r="377" ht="14.2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</row>
    <row r="378" ht="14.2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</row>
    <row r="379" ht="14.2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</row>
    <row r="380" ht="14.2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</row>
    <row r="381" ht="14.2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</row>
    <row r="382" ht="14.2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</row>
    <row r="383" ht="14.2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</row>
    <row r="384" ht="14.2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</row>
    <row r="385" ht="14.2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</row>
    <row r="386" ht="14.2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</row>
    <row r="387" ht="14.2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</row>
    <row r="388" ht="14.2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</row>
    <row r="389" ht="14.2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</row>
    <row r="390" ht="14.2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</row>
    <row r="391" ht="14.2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</row>
    <row r="392" ht="14.2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</row>
    <row r="393" ht="14.2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</row>
    <row r="394" ht="14.2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</row>
    <row r="395" ht="14.2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</row>
    <row r="396" ht="14.2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</row>
    <row r="397" ht="14.2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</row>
    <row r="398" ht="14.2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</row>
    <row r="399" ht="14.2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</row>
    <row r="400" ht="14.2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</row>
    <row r="401" ht="14.2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</row>
    <row r="402" ht="14.2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</row>
    <row r="403" ht="14.2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</row>
    <row r="404" ht="14.2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</row>
    <row r="405" ht="14.2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</row>
    <row r="406" ht="14.2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</row>
    <row r="407" ht="14.2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</row>
    <row r="408" ht="14.2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</row>
    <row r="409" ht="14.2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</row>
    <row r="410" ht="14.2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</row>
    <row r="411" ht="14.2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</row>
    <row r="412" ht="14.2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</row>
    <row r="413" ht="14.2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</row>
    <row r="414" ht="14.2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</row>
    <row r="415" ht="14.2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</row>
    <row r="416" ht="14.2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</row>
    <row r="417" ht="14.2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</row>
    <row r="418" ht="14.2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</row>
    <row r="419" ht="14.2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</row>
    <row r="420" ht="14.2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</row>
    <row r="421" ht="14.2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</row>
    <row r="422" ht="14.2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</row>
    <row r="423" ht="14.2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</row>
    <row r="424" ht="14.2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</row>
    <row r="425" ht="14.2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</row>
    <row r="426" ht="14.2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</row>
    <row r="427" ht="14.2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</row>
    <row r="428" ht="14.2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</row>
    <row r="429" ht="14.2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</row>
    <row r="430" ht="14.2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</row>
    <row r="431" ht="14.2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</row>
    <row r="432" ht="14.2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</row>
    <row r="433" ht="14.2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</row>
    <row r="434" ht="14.2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</row>
    <row r="435" ht="14.2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</row>
    <row r="436" ht="14.2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</row>
    <row r="437" ht="14.2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</row>
    <row r="438" ht="14.2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</row>
    <row r="439" ht="14.2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</row>
    <row r="440" ht="14.2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</row>
    <row r="441" ht="14.2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</row>
    <row r="442" ht="14.2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</row>
    <row r="443" ht="14.2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</row>
    <row r="444" ht="14.2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</row>
    <row r="445" ht="14.2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</row>
    <row r="446" ht="14.2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</row>
    <row r="447" ht="14.2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</row>
    <row r="448" ht="14.2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</row>
    <row r="449" ht="14.2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</row>
    <row r="450" ht="14.2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</row>
    <row r="451" ht="14.2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</row>
    <row r="452" ht="14.2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</row>
    <row r="453" ht="14.2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</row>
    <row r="454" ht="14.2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</row>
    <row r="455" ht="14.2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</row>
    <row r="456" ht="14.2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</row>
    <row r="457" ht="14.2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</row>
    <row r="458" ht="14.2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</row>
    <row r="459" ht="14.2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</row>
    <row r="460" ht="14.2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</row>
    <row r="461" ht="14.2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</row>
    <row r="462" ht="14.2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</row>
    <row r="463" ht="14.2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</row>
    <row r="464" ht="14.2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</row>
    <row r="465" ht="14.2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</row>
    <row r="466" ht="14.2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</row>
    <row r="467" ht="14.2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</row>
    <row r="468" ht="14.2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</row>
    <row r="469" ht="14.2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</row>
    <row r="470" ht="14.2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</row>
    <row r="471" ht="14.2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</row>
    <row r="472" ht="14.2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</row>
    <row r="473" ht="14.2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</row>
    <row r="474" ht="14.2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</row>
    <row r="475" ht="14.2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</row>
    <row r="476" ht="14.2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</row>
    <row r="477" ht="14.2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</row>
    <row r="478" ht="14.2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</row>
    <row r="479" ht="14.2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</row>
    <row r="480" ht="14.2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</row>
    <row r="481" ht="14.2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</row>
    <row r="482" ht="14.2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</row>
    <row r="483" ht="14.2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</row>
    <row r="484" ht="14.2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</row>
    <row r="485" ht="14.2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</row>
    <row r="486" ht="14.2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</row>
    <row r="487" ht="14.2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</row>
    <row r="488" ht="14.2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</row>
    <row r="489" ht="14.2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</row>
    <row r="490" ht="14.2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</row>
    <row r="491" ht="14.2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</row>
    <row r="492" ht="14.2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</row>
    <row r="493" ht="14.2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</row>
    <row r="494" ht="14.2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</row>
    <row r="495" ht="14.2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</row>
    <row r="496" ht="14.2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</row>
    <row r="497" ht="14.2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</row>
    <row r="498" ht="14.2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</row>
    <row r="499" ht="14.2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</row>
    <row r="500" ht="14.2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</row>
    <row r="501" ht="14.2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</row>
    <row r="502" ht="14.2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</row>
    <row r="503" ht="14.2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</row>
    <row r="504" ht="14.2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</row>
    <row r="505" ht="14.2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</row>
    <row r="506" ht="14.2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</row>
    <row r="507" ht="14.2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</row>
    <row r="508" ht="14.2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</row>
    <row r="509" ht="14.2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</row>
    <row r="510" ht="14.2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</row>
    <row r="511" ht="14.2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</row>
    <row r="512" ht="14.2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</row>
    <row r="513" ht="14.2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</row>
    <row r="514" ht="14.2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</row>
    <row r="515" ht="14.2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</row>
    <row r="516" ht="14.2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</row>
    <row r="517" ht="14.2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</row>
    <row r="518" ht="14.2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</row>
    <row r="519" ht="14.2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</row>
    <row r="520" ht="14.2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</row>
    <row r="521" ht="14.2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</row>
    <row r="522" ht="14.2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</row>
    <row r="523" ht="14.2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</row>
    <row r="524" ht="14.2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</row>
    <row r="525" ht="14.2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</row>
    <row r="526" ht="14.2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</row>
    <row r="527" ht="14.2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</row>
    <row r="528" ht="14.2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</row>
    <row r="529" ht="14.2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</row>
    <row r="530" ht="14.2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</row>
    <row r="531" ht="14.2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</row>
    <row r="532" ht="14.2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</row>
    <row r="533" ht="14.2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</row>
    <row r="534" ht="14.2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</row>
    <row r="535" ht="14.2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</row>
    <row r="536" ht="14.2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</row>
    <row r="537" ht="14.2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</row>
    <row r="538" ht="14.2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</row>
    <row r="539" ht="14.2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</row>
    <row r="540" ht="14.2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</row>
    <row r="541" ht="14.2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</row>
    <row r="542" ht="14.2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</row>
    <row r="543" ht="14.2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</row>
    <row r="544" ht="14.2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</row>
    <row r="545" ht="14.2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</row>
    <row r="546" ht="14.2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</row>
    <row r="547" ht="14.2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</row>
    <row r="548" ht="14.2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</row>
    <row r="549" ht="14.2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</row>
    <row r="550" ht="14.2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</row>
    <row r="551" ht="14.2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</row>
    <row r="552" ht="14.2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</row>
    <row r="553" ht="14.2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</row>
    <row r="554" ht="14.2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</row>
    <row r="555" ht="14.2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</row>
    <row r="556" ht="14.2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</row>
    <row r="557" ht="14.2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</row>
    <row r="558" ht="14.2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</row>
    <row r="559" ht="14.2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</row>
    <row r="560" ht="14.2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</row>
    <row r="561" ht="14.2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</row>
    <row r="562" ht="14.2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</row>
    <row r="563" ht="14.2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</row>
    <row r="564" ht="14.2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</row>
    <row r="565" ht="14.2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</row>
    <row r="566" ht="14.2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</row>
    <row r="567" ht="14.2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</row>
    <row r="568" ht="14.2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</row>
    <row r="569" ht="14.2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</row>
    <row r="570" ht="14.2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</row>
    <row r="571" ht="14.2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</row>
    <row r="572" ht="14.2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</row>
    <row r="573" ht="14.2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</row>
    <row r="574" ht="14.2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</row>
    <row r="575" ht="14.2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</row>
    <row r="576" ht="14.2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</row>
    <row r="577" ht="14.2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</row>
    <row r="578" ht="14.2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</row>
    <row r="579" ht="14.2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</row>
    <row r="580" ht="14.2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</row>
    <row r="581" ht="14.2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</row>
    <row r="582" ht="14.2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</row>
    <row r="583" ht="14.2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</row>
    <row r="584" ht="14.2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</row>
    <row r="585" ht="14.2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</row>
    <row r="586" ht="14.2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</row>
    <row r="587" ht="14.2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</row>
    <row r="588" ht="14.2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</row>
    <row r="589" ht="14.2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</row>
    <row r="590" ht="14.2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</row>
    <row r="591" ht="14.2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</row>
    <row r="592" ht="14.2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</row>
    <row r="593" ht="14.2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</row>
    <row r="594" ht="14.2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</row>
    <row r="595" ht="14.2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</row>
    <row r="596" ht="14.2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</row>
    <row r="597" ht="14.2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</row>
    <row r="598" ht="14.2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</row>
    <row r="599" ht="14.2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</row>
    <row r="600" ht="14.2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</row>
    <row r="601" ht="14.2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</row>
    <row r="602" ht="14.2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</row>
    <row r="603" ht="14.2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</row>
    <row r="604" ht="14.2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</row>
    <row r="605" ht="14.2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</row>
    <row r="606" ht="14.2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</row>
    <row r="607" ht="14.2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</row>
    <row r="608" ht="14.2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</row>
    <row r="609" ht="14.2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</row>
    <row r="610" ht="14.2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</row>
    <row r="611" ht="14.2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</row>
    <row r="612" ht="14.2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</row>
    <row r="613" ht="14.2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</row>
    <row r="614" ht="14.2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</row>
    <row r="615" ht="14.2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</row>
    <row r="616" ht="14.2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</row>
    <row r="617" ht="14.2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</row>
    <row r="618" ht="14.2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</row>
    <row r="619" ht="14.2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</row>
    <row r="620" ht="14.2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</row>
    <row r="621" ht="14.2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</row>
    <row r="622" ht="14.2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</row>
    <row r="623" ht="14.2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</row>
    <row r="624" ht="14.2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</row>
    <row r="625" ht="14.2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</row>
    <row r="626" ht="14.2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</row>
    <row r="627" ht="14.2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</row>
    <row r="628" ht="14.2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</row>
    <row r="629" ht="14.2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</row>
    <row r="630" ht="14.2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</row>
    <row r="631" ht="14.2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</row>
    <row r="632" ht="14.2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</row>
    <row r="633" ht="14.2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</row>
    <row r="634" ht="14.2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</row>
    <row r="635" ht="14.2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</row>
    <row r="636" ht="14.2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</row>
    <row r="637" ht="14.2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</row>
    <row r="638" ht="14.2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</row>
    <row r="639" ht="14.2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</row>
    <row r="640" ht="14.2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</row>
    <row r="641" ht="14.2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</row>
    <row r="642" ht="14.2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</row>
    <row r="643" ht="14.2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</row>
    <row r="644" ht="14.2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</row>
    <row r="645" ht="14.2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</row>
    <row r="646" ht="14.2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</row>
    <row r="647" ht="14.2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</row>
    <row r="648" ht="14.2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</row>
    <row r="649" ht="14.2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</row>
    <row r="650" ht="14.2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</row>
    <row r="651" ht="14.2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</row>
    <row r="652" ht="14.2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</row>
    <row r="653" ht="14.2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</row>
    <row r="654" ht="14.2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</row>
    <row r="655" ht="14.2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</row>
    <row r="656" ht="14.2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</row>
    <row r="657" ht="14.2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</row>
    <row r="658" ht="14.2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</row>
    <row r="659" ht="14.2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</row>
    <row r="660" ht="14.2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</row>
    <row r="661" ht="14.2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</row>
    <row r="662" ht="14.2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</row>
    <row r="663" ht="14.2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</row>
    <row r="664" ht="14.2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</row>
    <row r="665" ht="14.2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</row>
    <row r="666" ht="14.2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</row>
    <row r="667" ht="14.2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</row>
    <row r="668" ht="14.2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</row>
    <row r="669" ht="14.2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</row>
    <row r="670" ht="14.2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</row>
    <row r="671" ht="14.2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</row>
    <row r="672" ht="14.2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</row>
    <row r="673" ht="14.2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</row>
    <row r="674" ht="14.2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</row>
    <row r="675" ht="14.2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</row>
    <row r="676" ht="14.2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</row>
    <row r="677" ht="14.2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</row>
    <row r="678" ht="14.2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</row>
    <row r="679" ht="14.2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</row>
    <row r="680" ht="14.2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</row>
    <row r="681" ht="14.2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</row>
    <row r="682" ht="14.2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</row>
    <row r="683" ht="14.2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</row>
    <row r="684" ht="14.2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</row>
    <row r="685" ht="14.2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</row>
    <row r="686" ht="14.2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</row>
    <row r="687" ht="14.2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</row>
    <row r="688" ht="14.2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</row>
    <row r="689" ht="14.2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</row>
    <row r="690" ht="14.2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</row>
    <row r="691" ht="14.2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</row>
    <row r="692" ht="14.2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</row>
    <row r="693" ht="14.2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</row>
    <row r="694" ht="14.2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</row>
    <row r="695" ht="14.2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</row>
    <row r="696" ht="14.2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</row>
    <row r="697" ht="14.2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</row>
    <row r="698" ht="14.2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</row>
    <row r="699" ht="14.2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</row>
    <row r="700" ht="14.2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</row>
    <row r="701" ht="14.2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</row>
    <row r="702" ht="14.2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</row>
    <row r="703" ht="14.2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</row>
    <row r="704" ht="14.2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</row>
    <row r="705" ht="14.2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</row>
    <row r="706" ht="14.2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</row>
    <row r="707" ht="14.2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</row>
    <row r="708" ht="14.2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</row>
    <row r="709" ht="14.2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</row>
    <row r="710" ht="14.2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</row>
    <row r="711" ht="14.2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</row>
    <row r="712" ht="14.2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</row>
    <row r="713" ht="14.2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</row>
    <row r="714" ht="14.2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</row>
    <row r="715" ht="14.2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</row>
    <row r="716" ht="14.2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</row>
    <row r="717" ht="14.2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</row>
    <row r="718" ht="14.2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</row>
    <row r="719" ht="14.2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</row>
    <row r="720" ht="14.2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</row>
    <row r="721" ht="14.2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</row>
    <row r="722" ht="14.2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</row>
    <row r="723" ht="14.2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</row>
    <row r="724" ht="14.2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</row>
    <row r="725" ht="14.2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</row>
    <row r="726" ht="14.2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</row>
    <row r="727" ht="14.2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</row>
    <row r="728" ht="14.2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</row>
    <row r="729" ht="14.2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</row>
    <row r="730" ht="14.2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</row>
    <row r="731" ht="14.2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</row>
    <row r="732" ht="14.2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</row>
    <row r="733" ht="14.2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</row>
    <row r="734" ht="14.2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</row>
    <row r="735" ht="14.2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</row>
    <row r="736" ht="14.2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</row>
    <row r="737" ht="14.2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</row>
    <row r="738" ht="14.2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</row>
    <row r="739" ht="14.2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</row>
    <row r="740" ht="14.2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</row>
    <row r="741" ht="14.2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</row>
    <row r="742" ht="14.2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</row>
    <row r="743" ht="14.2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</row>
    <row r="744" ht="14.2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</row>
    <row r="745" ht="14.2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</row>
    <row r="746" ht="14.2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</row>
    <row r="747" ht="14.2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</row>
    <row r="748" ht="14.2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</row>
    <row r="749" ht="14.2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</row>
    <row r="750" ht="14.2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</row>
    <row r="751" ht="14.2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</row>
    <row r="752" ht="14.2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</row>
    <row r="753" ht="14.2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</row>
    <row r="754" ht="14.2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</row>
    <row r="755" ht="14.2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</row>
    <row r="756" ht="14.2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</row>
    <row r="757" ht="14.2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</row>
    <row r="758" ht="14.2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</row>
    <row r="759" ht="14.2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</row>
    <row r="760" ht="14.2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</row>
    <row r="761" ht="14.2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</row>
    <row r="762" ht="14.2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</row>
    <row r="763" ht="14.2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</row>
    <row r="764" ht="14.2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</row>
    <row r="765" ht="14.2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</row>
    <row r="766" ht="14.2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</row>
    <row r="767" ht="14.2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</row>
    <row r="768" ht="14.2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</row>
    <row r="769" ht="14.2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</row>
    <row r="770" ht="14.2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</row>
    <row r="771" ht="14.2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</row>
    <row r="772" ht="14.2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</row>
    <row r="773" ht="14.2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</row>
    <row r="774" ht="14.2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</row>
    <row r="775" ht="14.2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</row>
    <row r="776" ht="14.2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</row>
    <row r="777" ht="14.2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</row>
    <row r="778" ht="14.2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</row>
    <row r="779" ht="14.2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</row>
    <row r="780" ht="14.2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</row>
    <row r="781" ht="14.2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</row>
    <row r="782" ht="14.2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</row>
    <row r="783" ht="14.2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</row>
    <row r="784" ht="14.2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</row>
    <row r="785" ht="14.2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</row>
    <row r="786" ht="14.2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</row>
    <row r="787" ht="14.2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</row>
    <row r="788" ht="14.2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</row>
    <row r="789" ht="14.2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</row>
    <row r="790" ht="14.2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</row>
    <row r="791" ht="14.2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</row>
    <row r="792" ht="14.2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</row>
    <row r="793" ht="14.2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</row>
    <row r="794" ht="14.2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</row>
    <row r="795" ht="14.2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</row>
    <row r="796" ht="14.2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</row>
    <row r="797" ht="14.2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</row>
    <row r="798" ht="14.2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</row>
    <row r="799" ht="14.2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</row>
    <row r="800" ht="14.2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</row>
    <row r="801" ht="14.2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</row>
    <row r="802" ht="14.2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</row>
    <row r="803" ht="14.2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</row>
    <row r="804" ht="14.2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</row>
    <row r="805" ht="14.2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</row>
    <row r="806" ht="14.2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</row>
    <row r="807" ht="14.2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</row>
    <row r="808" ht="14.2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</row>
    <row r="809" ht="14.2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</row>
    <row r="810" ht="14.2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</row>
    <row r="811" ht="14.2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</row>
    <row r="812" ht="14.2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</row>
    <row r="813" ht="14.2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</row>
    <row r="814" ht="14.2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</row>
    <row r="815" ht="14.2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</row>
    <row r="816" ht="14.2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</row>
    <row r="817" ht="14.2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</row>
    <row r="818" ht="14.2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</row>
    <row r="819" ht="14.2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</row>
    <row r="820" ht="14.2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</row>
    <row r="821" ht="14.2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</row>
    <row r="822" ht="14.2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</row>
    <row r="823" ht="14.2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</row>
    <row r="824" ht="14.2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</row>
    <row r="825" ht="14.2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</row>
    <row r="826" ht="14.2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</row>
    <row r="827" ht="14.2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</row>
    <row r="828" ht="14.2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</row>
    <row r="829" ht="14.2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</row>
    <row r="830" ht="14.2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</row>
    <row r="831" ht="14.2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</row>
    <row r="832" ht="14.2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</row>
    <row r="833" ht="14.2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</row>
    <row r="834" ht="14.2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</row>
    <row r="835" ht="14.2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</row>
    <row r="836" ht="14.2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</row>
    <row r="837" ht="14.2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</row>
    <row r="838" ht="14.2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</row>
    <row r="839" ht="14.2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</row>
    <row r="840" ht="14.2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</row>
    <row r="841" ht="14.2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</row>
    <row r="842" ht="14.2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</row>
    <row r="843" ht="14.2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</row>
    <row r="844" ht="14.2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</row>
    <row r="845" ht="14.2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</row>
    <row r="846" ht="14.2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</row>
    <row r="847" ht="14.2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</row>
    <row r="848" ht="14.2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</row>
    <row r="849" ht="14.2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</row>
    <row r="850" ht="14.2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</row>
    <row r="851" ht="14.2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</row>
    <row r="852" ht="14.2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</row>
    <row r="853" ht="14.2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</row>
    <row r="854" ht="14.2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</row>
    <row r="855" ht="14.2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</row>
    <row r="856" ht="14.2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</row>
    <row r="857" ht="14.2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</row>
    <row r="858" ht="14.2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</row>
    <row r="859" ht="14.2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</row>
    <row r="860" ht="14.2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</row>
    <row r="861" ht="14.2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</row>
    <row r="862" ht="14.2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</row>
    <row r="863" ht="14.2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</row>
    <row r="864" ht="14.2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</row>
    <row r="865" ht="14.2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</row>
    <row r="866" ht="14.2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</row>
    <row r="867" ht="14.2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</row>
    <row r="868" ht="14.2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</row>
    <row r="869" ht="14.2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</row>
    <row r="870" ht="14.2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</row>
    <row r="871" ht="14.2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</row>
    <row r="872" ht="14.2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</row>
    <row r="873" ht="14.2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</row>
    <row r="874" ht="14.2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</row>
    <row r="875" ht="14.2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</row>
    <row r="876" ht="14.2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</row>
    <row r="877" ht="14.2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</row>
    <row r="878" ht="14.2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</row>
    <row r="879" ht="14.2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</row>
    <row r="880" ht="14.2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</row>
    <row r="881" ht="14.2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</row>
    <row r="882" ht="14.2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</row>
    <row r="883" ht="14.2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</row>
    <row r="884" ht="14.2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</row>
    <row r="885" ht="14.2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</row>
    <row r="886" ht="14.2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</row>
    <row r="887" ht="14.2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</row>
    <row r="888" ht="14.2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</row>
    <row r="889" ht="14.2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</row>
    <row r="890" ht="14.2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</row>
    <row r="891" ht="14.2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</row>
    <row r="892" ht="14.2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</row>
    <row r="893" ht="14.2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</row>
    <row r="894" ht="14.2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</row>
    <row r="895" ht="14.2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</row>
    <row r="896" ht="14.2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</row>
    <row r="897" ht="14.2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</row>
    <row r="898" ht="14.2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</row>
    <row r="899" ht="14.2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</row>
    <row r="900" ht="14.2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</row>
    <row r="901" ht="14.2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</row>
    <row r="902" ht="14.2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</row>
    <row r="903" ht="14.2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</row>
    <row r="904" ht="14.2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</row>
    <row r="905" ht="14.2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</row>
    <row r="906" ht="14.2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</row>
    <row r="907" ht="14.2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</row>
    <row r="908" ht="14.2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</row>
    <row r="909" ht="14.2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</row>
    <row r="910" ht="14.2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</row>
    <row r="911" ht="14.2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</row>
    <row r="912" ht="14.2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</row>
    <row r="913" ht="14.2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</row>
    <row r="914" ht="14.2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</row>
    <row r="915" ht="14.2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</row>
    <row r="916" ht="14.2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</row>
    <row r="917" ht="14.2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</row>
    <row r="918" ht="14.2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</row>
    <row r="919" ht="14.2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</row>
    <row r="920" ht="14.2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</row>
    <row r="921" ht="14.2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</row>
    <row r="922" ht="14.2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</row>
    <row r="923" ht="14.2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</row>
    <row r="924" ht="14.2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</row>
    <row r="925" ht="14.2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</row>
    <row r="926" ht="14.2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</row>
    <row r="927" ht="14.2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</row>
    <row r="928" ht="14.2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</row>
    <row r="929" ht="14.2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</row>
    <row r="930" ht="14.2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</row>
    <row r="931" ht="14.2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</row>
    <row r="932" ht="14.2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</row>
    <row r="933" ht="14.2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</row>
    <row r="934" ht="14.2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</row>
    <row r="935" ht="14.2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</row>
    <row r="936" ht="14.2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</row>
    <row r="937" ht="14.2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</row>
    <row r="938" ht="14.2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</row>
    <row r="939" ht="14.2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</row>
    <row r="940" ht="14.2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</row>
    <row r="941" ht="14.2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</row>
  </sheetData>
  <mergeCells count="2">
    <mergeCell ref="B2:B13"/>
    <mergeCell ref="I8:I13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>
  <sheetPr>
    <tabColor rgb="FF2F5496"/>
    <outlinePr summaryBelow="1" summaryRight="1"/>
    <pageSetUpPr/>
  </sheetPr>
  <dimension ref="A1:AH1001"/>
  <sheetViews>
    <sheetView showGridLines="0" workbookViewId="0">
      <selection activeCell="I38" sqref="I38"/>
    </sheetView>
  </sheetViews>
  <sheetFormatPr baseColWidth="10" defaultColWidth="14.453125" defaultRowHeight="15" customHeight="1"/>
  <cols>
    <col width="11.453125" customWidth="1" min="1" max="1"/>
    <col width="39.7265625" customWidth="1" min="2" max="2"/>
    <col width="11.453125" customWidth="1" min="3" max="8"/>
    <col width="44.81640625" bestFit="1" customWidth="1" min="9" max="9"/>
    <col width="11.453125" customWidth="1" min="10" max="34"/>
  </cols>
  <sheetData>
    <row r="1" ht="14.2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</row>
    <row r="2" ht="14.25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</row>
    <row r="3" ht="14.2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</row>
    <row r="4" ht="14.25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</row>
    <row r="5" ht="15" customHeight="1">
      <c r="A5" s="1" t="n"/>
      <c r="B5" s="217" t="inlineStr">
        <is>
          <t>Costo de adquisición de consumidores (definir sobre un periodo predeterminado)</t>
        </is>
      </c>
      <c r="H5" s="1" t="n"/>
      <c r="I5" s="213" t="inlineStr">
        <is>
          <t>LifeTime Value (sobre 2 años)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</row>
    <row r="6" ht="14.25" customHeight="1" thickBot="1">
      <c r="A6" s="1" t="n"/>
      <c r="B6" s="257" t="n"/>
      <c r="C6" s="258" t="n"/>
      <c r="D6" s="258" t="n"/>
      <c r="E6" s="258" t="n"/>
      <c r="F6" s="258" t="n"/>
      <c r="G6" s="258" t="n"/>
      <c r="H6" s="1" t="n"/>
      <c r="I6" s="257" t="n"/>
      <c r="J6" s="258" t="n"/>
      <c r="K6" s="258" t="n"/>
      <c r="L6" s="258" t="n"/>
      <c r="M6" s="258" t="n"/>
      <c r="N6" s="258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</row>
    <row r="7" ht="31.15" customHeight="1" thickBot="1">
      <c r="A7" s="1" t="n"/>
      <c r="B7" s="176" t="inlineStr">
        <is>
          <t>Concepto</t>
        </is>
      </c>
      <c r="C7" s="174">
        <f>+'Costeo y análisis de rent.'!D2</f>
        <v/>
      </c>
      <c r="D7" s="174">
        <f>+'Costeo y análisis de rent.'!E2</f>
        <v/>
      </c>
      <c r="E7" s="174">
        <f>+'Costeo y análisis de rent.'!F2</f>
        <v/>
      </c>
      <c r="F7" s="174">
        <f>+'Costeo y análisis de rent.'!G2</f>
        <v/>
      </c>
      <c r="G7" s="174">
        <f>+'Costeo y análisis de rent.'!H2</f>
        <v/>
      </c>
      <c r="H7" s="175" t="n"/>
      <c r="I7" s="173" t="n"/>
      <c r="J7" s="174">
        <f>+'Costeo y análisis de rent.'!D2</f>
        <v/>
      </c>
      <c r="K7" s="174">
        <f>+'Costeo y análisis de rent.'!E2</f>
        <v/>
      </c>
      <c r="L7" s="174">
        <f>+'Costeo y análisis de rent.'!F2</f>
        <v/>
      </c>
      <c r="M7" s="174">
        <f>+'Costeo y análisis de rent.'!G2</f>
        <v/>
      </c>
      <c r="N7" s="174">
        <f>+'Costeo y análisis de rent.'!H2</f>
        <v/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</row>
    <row r="8" ht="14.25" customHeight="1">
      <c r="A8" s="1" t="n"/>
      <c r="B8" s="28" t="inlineStr">
        <is>
          <t>Creación de marca</t>
        </is>
      </c>
      <c r="C8" s="259" t="n">
        <v>20000</v>
      </c>
      <c r="D8" s="31" t="n">
        <v>0</v>
      </c>
      <c r="E8" s="259" t="n">
        <v>4000</v>
      </c>
      <c r="F8" s="31" t="n">
        <v>0</v>
      </c>
      <c r="G8" s="31" t="n">
        <v>0</v>
      </c>
      <c r="H8" s="1" t="n"/>
      <c r="I8" s="28" t="inlineStr">
        <is>
          <t>Precio</t>
        </is>
      </c>
      <c r="J8" s="233" t="n">
        <v>112000</v>
      </c>
      <c r="K8" s="233" t="n">
        <v>99000</v>
      </c>
      <c r="L8" s="233" t="n">
        <v>13500</v>
      </c>
      <c r="M8" s="31" t="n"/>
      <c r="N8" s="3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</row>
    <row r="9" ht="14.25" customHeight="1" thickBot="1">
      <c r="A9" s="1" t="n"/>
      <c r="B9" s="29" t="inlineStr">
        <is>
          <t>Sitio web (creación y mantenimiento)</t>
        </is>
      </c>
      <c r="C9" s="32" t="n">
        <v>0</v>
      </c>
      <c r="D9" s="32" t="n">
        <v>0</v>
      </c>
      <c r="E9" s="32" t="n">
        <v>0</v>
      </c>
      <c r="F9" s="32" t="n">
        <v>0</v>
      </c>
      <c r="G9" s="32" t="n">
        <v>0</v>
      </c>
      <c r="H9" s="1" t="n"/>
      <c r="I9" s="29" t="inlineStr">
        <is>
          <t>Costo de material directo</t>
        </is>
      </c>
      <c r="J9" s="233" t="n">
        <v>74000</v>
      </c>
      <c r="K9" s="233" t="n">
        <v>74000</v>
      </c>
      <c r="L9" s="233" t="n">
        <v>7800</v>
      </c>
      <c r="M9" s="32" t="n"/>
      <c r="N9" s="32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</row>
    <row r="10" ht="14.25" customHeight="1" thickBot="1">
      <c r="A10" s="1" t="n"/>
      <c r="B10" s="29" t="inlineStr">
        <is>
          <t>Campañas promocionales</t>
        </is>
      </c>
      <c r="C10" s="32" t="n">
        <v>0</v>
      </c>
      <c r="D10" s="32" t="n">
        <v>0</v>
      </c>
      <c r="E10" s="32" t="n">
        <v>0</v>
      </c>
      <c r="F10" s="32" t="n">
        <v>0</v>
      </c>
      <c r="G10" s="32" t="n">
        <v>0</v>
      </c>
      <c r="H10" s="1" t="n"/>
      <c r="I10" s="33" t="inlineStr">
        <is>
          <t>Margen Bruto</t>
        </is>
      </c>
      <c r="J10" s="260">
        <f>+J8-J9</f>
        <v/>
      </c>
      <c r="K10" s="260">
        <f>+K8-K9</f>
        <v/>
      </c>
      <c r="L10" s="260">
        <f>+L8-L9</f>
        <v/>
      </c>
      <c r="M10" s="34" t="n"/>
      <c r="N10" s="34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</row>
    <row r="11" ht="14.25" customHeight="1" thickBot="1">
      <c r="A11" s="1" t="n"/>
      <c r="B11" s="29" t="inlineStr">
        <is>
          <t>Herramientas de automatización</t>
        </is>
      </c>
      <c r="C11" s="32" t="n">
        <v>0</v>
      </c>
      <c r="D11" s="32" t="n">
        <v>0</v>
      </c>
      <c r="E11" s="32" t="n">
        <v>0</v>
      </c>
      <c r="F11" s="32" t="n">
        <v>0</v>
      </c>
      <c r="G11" s="32" t="n">
        <v>0</v>
      </c>
      <c r="H11" s="1" t="n"/>
      <c r="I11" s="29" t="inlineStr">
        <is>
          <t>Numero de ventas por cliente sobre 2 años</t>
        </is>
      </c>
      <c r="J11" s="261" t="n">
        <v>1</v>
      </c>
      <c r="K11" s="261" t="n">
        <v>1</v>
      </c>
      <c r="L11" s="261" t="n">
        <v>1.2</v>
      </c>
      <c r="M11" s="35" t="n"/>
      <c r="N11" s="35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</row>
    <row r="12" ht="14.25" customHeight="1" thickBot="1">
      <c r="A12" s="1" t="n"/>
      <c r="B12" s="29" t="inlineStr">
        <is>
          <t>Viáticos</t>
        </is>
      </c>
      <c r="C12" s="32" t="n">
        <v>0</v>
      </c>
      <c r="D12" s="32" t="n">
        <v>0</v>
      </c>
      <c r="E12" s="32" t="n">
        <v>0</v>
      </c>
      <c r="F12" s="32" t="n">
        <v>0</v>
      </c>
      <c r="G12" s="32" t="n">
        <v>0</v>
      </c>
      <c r="H12" s="1" t="n"/>
      <c r="I12" s="33" t="inlineStr">
        <is>
          <t>LTV</t>
        </is>
      </c>
      <c r="J12" s="260">
        <f>+J10*J11</f>
        <v/>
      </c>
      <c r="K12" s="260">
        <f>+K10*K11</f>
        <v/>
      </c>
      <c r="L12" s="260">
        <f>+L10*L11</f>
        <v/>
      </c>
      <c r="M12" s="34" t="n"/>
      <c r="N12" s="34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</row>
    <row r="13" ht="14.25" customHeight="1">
      <c r="A13" s="1" t="n"/>
      <c r="B13" s="29" t="inlineStr">
        <is>
          <t>Conferencias /Webinars</t>
        </is>
      </c>
      <c r="C13" s="32" t="n">
        <v>0</v>
      </c>
      <c r="D13" s="32" t="n">
        <v>0</v>
      </c>
      <c r="E13" s="32" t="n">
        <v>0</v>
      </c>
      <c r="F13" s="32" t="n">
        <v>0</v>
      </c>
      <c r="G13" s="32" t="n">
        <v>0</v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</row>
    <row r="14" ht="14.25" customHeight="1">
      <c r="A14" s="1" t="n"/>
      <c r="B14" s="29" t="inlineStr">
        <is>
          <t>Publicidad digital</t>
        </is>
      </c>
      <c r="C14" s="262" t="n">
        <v>40000</v>
      </c>
      <c r="D14" s="262" t="n">
        <v>18000</v>
      </c>
      <c r="E14" s="262" t="n">
        <v>10000</v>
      </c>
      <c r="F14" s="32" t="n">
        <v>0</v>
      </c>
      <c r="G14" s="32" t="n">
        <v>0</v>
      </c>
      <c r="H14" s="1" t="n"/>
      <c r="I14" s="1" t="n"/>
      <c r="J14" s="30" t="n"/>
      <c r="K14" s="30" t="n"/>
      <c r="L14" s="30" t="n"/>
      <c r="M14" s="30" t="n"/>
      <c r="N14" s="30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</row>
    <row r="15" ht="14.25" customHeight="1">
      <c r="A15" s="1" t="n"/>
      <c r="B15" s="29" t="inlineStr">
        <is>
          <t>Producción de videos</t>
        </is>
      </c>
      <c r="C15" s="32" t="n">
        <v>0</v>
      </c>
      <c r="D15" s="32" t="n">
        <v>0</v>
      </c>
      <c r="E15" s="32" t="n">
        <v>0</v>
      </c>
      <c r="F15" s="32" t="n">
        <v>0</v>
      </c>
      <c r="G15" s="32" t="n">
        <v>0</v>
      </c>
      <c r="H15" s="1" t="n"/>
      <c r="I15" s="1" t="n"/>
      <c r="J15" s="30" t="n"/>
      <c r="K15" s="30" t="n"/>
      <c r="L15" s="30" t="n"/>
      <c r="M15" s="30" t="n"/>
      <c r="N15" s="30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</row>
    <row r="16" ht="14.25" customHeight="1">
      <c r="A16" s="1" t="n"/>
      <c r="B16" s="29" t="inlineStr">
        <is>
          <t>Regalos y muestras</t>
        </is>
      </c>
      <c r="C16" s="32" t="n">
        <v>0</v>
      </c>
      <c r="D16" s="32" t="n">
        <v>0</v>
      </c>
      <c r="E16" s="32" t="n">
        <v>0</v>
      </c>
      <c r="F16" s="32" t="n">
        <v>0</v>
      </c>
      <c r="G16" s="32" t="n">
        <v>0</v>
      </c>
      <c r="H16" s="1" t="n"/>
      <c r="I16" s="1" t="n"/>
      <c r="J16" s="30" t="n"/>
      <c r="K16" s="30" t="n"/>
      <c r="L16" s="30" t="n"/>
      <c r="M16" s="30" t="n"/>
      <c r="N16" s="30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</row>
    <row r="17" ht="14.25" customHeight="1">
      <c r="A17" s="1" t="n"/>
      <c r="B17" s="29" t="inlineStr">
        <is>
          <t>Comisiones</t>
        </is>
      </c>
      <c r="C17" s="262" t="n">
        <v>21600</v>
      </c>
      <c r="D17" s="262" t="n">
        <v>16000</v>
      </c>
      <c r="E17" s="262" t="n">
        <v>5500</v>
      </c>
      <c r="F17" s="32" t="n">
        <v>0</v>
      </c>
      <c r="G17" s="32" t="n">
        <v>0</v>
      </c>
      <c r="H17" s="1" t="n"/>
      <c r="I17" s="213" t="inlineStr">
        <is>
          <t>Razón de unidades económicas</t>
        </is>
      </c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</row>
    <row r="18" ht="14.25" customHeight="1" thickBot="1">
      <c r="A18" s="1" t="n"/>
      <c r="B18" s="29" t="inlineStr">
        <is>
          <t xml:space="preserve">Agencias </t>
        </is>
      </c>
      <c r="C18" s="32" t="n">
        <v>0</v>
      </c>
      <c r="D18" s="32" t="n">
        <v>0</v>
      </c>
      <c r="E18" s="32" t="n">
        <v>0</v>
      </c>
      <c r="F18" s="32" t="n">
        <v>0</v>
      </c>
      <c r="G18" s="32" t="n">
        <v>0</v>
      </c>
      <c r="H18" s="1" t="n"/>
      <c r="I18" s="257" t="n"/>
      <c r="J18" s="258" t="n"/>
      <c r="K18" s="258" t="n"/>
      <c r="L18" s="258" t="n"/>
      <c r="M18" s="258" t="n"/>
      <c r="N18" s="258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</row>
    <row r="19" ht="14.25" customHeight="1" thickBot="1">
      <c r="A19" s="1" t="n"/>
      <c r="B19" s="29" t="inlineStr">
        <is>
          <t>Participación en eventos / ferias</t>
        </is>
      </c>
      <c r="C19" s="32" t="n">
        <v>0</v>
      </c>
      <c r="D19" s="32" t="n">
        <v>0</v>
      </c>
      <c r="E19" s="32" t="n">
        <v>0</v>
      </c>
      <c r="F19" s="32" t="n">
        <v>0</v>
      </c>
      <c r="G19" s="32" t="n">
        <v>0</v>
      </c>
      <c r="H19" s="1" t="n"/>
      <c r="I19" s="33" t="inlineStr">
        <is>
          <t>Razón unitaria</t>
        </is>
      </c>
      <c r="J19" s="263">
        <f>+IF(C26&gt;0,J12/C26,0)</f>
        <v/>
      </c>
      <c r="K19" s="263">
        <f>+IF(D26&gt;0,K12/D26,0)</f>
        <v/>
      </c>
      <c r="L19" s="263">
        <f>+IF(E26&gt;0,L12/E26,0)</f>
        <v/>
      </c>
      <c r="M19" s="36" t="n"/>
      <c r="N19" s="3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</row>
    <row r="20" ht="14.25" customHeight="1">
      <c r="A20" s="1" t="n"/>
      <c r="B20" s="29" t="inlineStr">
        <is>
          <t>Realización de eventos</t>
        </is>
      </c>
      <c r="C20" s="32" t="n">
        <v>0</v>
      </c>
      <c r="D20" s="32" t="n">
        <v>0</v>
      </c>
      <c r="E20" s="32" t="n">
        <v>0</v>
      </c>
      <c r="F20" s="32" t="n">
        <v>0</v>
      </c>
      <c r="G20" s="32" t="n">
        <v>0</v>
      </c>
      <c r="H20" s="1" t="n"/>
      <c r="I20" s="232" t="inlineStr">
        <is>
          <t>LTV/CAC por producto:</t>
        </is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</row>
    <row r="21" ht="14.25" customHeight="1">
      <c r="A21" s="1" t="n"/>
      <c r="B21" s="29" t="inlineStr">
        <is>
          <t>Optimización de motor de busqueda</t>
        </is>
      </c>
      <c r="C21" s="32" t="n">
        <v>0</v>
      </c>
      <c r="D21" s="32" t="n">
        <v>0</v>
      </c>
      <c r="E21" s="32" t="n">
        <v>0</v>
      </c>
      <c r="F21" s="32" t="n">
        <v>0</v>
      </c>
      <c r="G21" s="32" t="n">
        <v>0</v>
      </c>
      <c r="H21" s="1" t="n"/>
      <c r="I21" s="1" t="n"/>
      <c r="J21" s="30" t="n"/>
      <c r="K21" s="30" t="n"/>
      <c r="L21" s="30" t="n"/>
      <c r="M21" s="30" t="n"/>
      <c r="N21" s="30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</row>
    <row r="22" ht="14.25" customHeight="1">
      <c r="A22" s="1" t="n"/>
      <c r="B22" s="29" t="inlineStr">
        <is>
          <t>Influencers</t>
        </is>
      </c>
      <c r="C22" s="32" t="n">
        <v>0</v>
      </c>
      <c r="D22" s="32" t="n">
        <v>0</v>
      </c>
      <c r="E22" s="32" t="n">
        <v>0</v>
      </c>
      <c r="F22" s="32" t="n">
        <v>0</v>
      </c>
      <c r="G22" s="32" t="n">
        <v>0</v>
      </c>
      <c r="H22" s="1" t="n"/>
      <c r="I22" s="177" t="inlineStr">
        <is>
          <t>Resultado</t>
        </is>
      </c>
      <c r="J22" s="219" t="inlineStr">
        <is>
          <t>Interpretación</t>
        </is>
      </c>
      <c r="N22" s="30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</row>
    <row r="23" ht="14.25" customHeight="1" thickBot="1">
      <c r="A23" s="1" t="n"/>
      <c r="B23" s="11" t="inlineStr">
        <is>
          <t>Otros</t>
        </is>
      </c>
      <c r="C23" s="12" t="n">
        <v>0</v>
      </c>
      <c r="D23" s="12" t="n">
        <v>0</v>
      </c>
      <c r="E23" s="12" t="n">
        <v>0</v>
      </c>
      <c r="F23" s="12" t="n">
        <v>0</v>
      </c>
      <c r="G23" s="12" t="n">
        <v>0</v>
      </c>
      <c r="H23" s="1" t="n"/>
      <c r="I23" s="172" t="inlineStr">
        <is>
          <t>Si Razón unitaria &lt; 1</t>
        </is>
      </c>
      <c r="J23" s="210" t="inlineStr">
        <is>
          <t>El producto no es rentable</t>
        </is>
      </c>
      <c r="K23" s="238" t="n"/>
      <c r="L23" s="238" t="n"/>
      <c r="M23" s="239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</row>
    <row r="24" ht="14.25" customHeight="1" thickBot="1">
      <c r="A24" s="1" t="n"/>
      <c r="B24" s="33" t="inlineStr">
        <is>
          <t>Total</t>
        </is>
      </c>
      <c r="C24" s="34">
        <f>SUM(C8:C23)</f>
        <v/>
      </c>
      <c r="D24" s="34">
        <f>SUM(D8:D23)</f>
        <v/>
      </c>
      <c r="E24" s="34">
        <f>SUM(E8:E23)</f>
        <v/>
      </c>
      <c r="F24" s="34">
        <f>SUM(F8:F23)</f>
        <v/>
      </c>
      <c r="G24" s="34">
        <f>SUM(G8:G23)</f>
        <v/>
      </c>
      <c r="H24" s="1" t="n"/>
      <c r="I24" s="172" t="inlineStr">
        <is>
          <t>1 &lt; Razón Unitaria &lt; 2</t>
        </is>
      </c>
      <c r="J24" s="210" t="inlineStr">
        <is>
          <t>Rentable pero problemas de liquidez</t>
        </is>
      </c>
      <c r="K24" s="238" t="n"/>
      <c r="L24" s="238" t="n"/>
      <c r="M24" s="239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</row>
    <row r="25" ht="14.25" customHeight="1" thickBot="1">
      <c r="A25" s="1" t="n"/>
      <c r="B25" s="37" t="inlineStr">
        <is>
          <t>Clientes adquiridos</t>
        </is>
      </c>
      <c r="C25" s="264" t="n">
        <v>12</v>
      </c>
      <c r="D25" s="264" t="n">
        <v>5</v>
      </c>
      <c r="E25" s="264" t="n">
        <v>13</v>
      </c>
      <c r="F25" s="38" t="n"/>
      <c r="G25" s="38" t="n"/>
      <c r="H25" s="1" t="n"/>
      <c r="I25" s="172" t="inlineStr">
        <is>
          <t>2 &lt; Razón Unitaria &lt; 3</t>
        </is>
      </c>
      <c r="J25" s="210" t="inlineStr">
        <is>
          <t>Rentable y liquido pero no escalable</t>
        </is>
      </c>
      <c r="K25" s="238" t="n"/>
      <c r="L25" s="238" t="n"/>
      <c r="M25" s="239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</row>
    <row r="26" ht="14.25" customHeight="1" thickBot="1">
      <c r="A26" s="1" t="n"/>
      <c r="B26" s="33" t="inlineStr">
        <is>
          <t>CAC</t>
        </is>
      </c>
      <c r="C26" s="260">
        <f>+IF(C25&gt;0,C24/C25,0)</f>
        <v/>
      </c>
      <c r="D26" s="260">
        <f>+IF(D25&gt;0,D24/D25,0)</f>
        <v/>
      </c>
      <c r="E26" s="260">
        <f>+IF(E25&gt;0,E24/E25,0)</f>
        <v/>
      </c>
      <c r="F26" s="34" t="n"/>
      <c r="G26" s="34" t="n"/>
      <c r="H26" s="1" t="n"/>
      <c r="I26" s="172" t="inlineStr">
        <is>
          <t>Si Razón unitaria &gt; 3</t>
        </is>
      </c>
      <c r="J26" s="210" t="inlineStr">
        <is>
          <t>Rentable, liquido y escalable</t>
        </is>
      </c>
      <c r="K26" s="238" t="n"/>
      <c r="L26" s="238" t="n"/>
      <c r="M26" s="239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</row>
    <row r="27" ht="14.2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</row>
    <row r="28" ht="14.2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</row>
    <row r="29" ht="14.2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</row>
    <row r="30" ht="14.2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</row>
    <row r="31" ht="14.2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</row>
    <row r="32" ht="14.2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</row>
    <row r="33" ht="14.2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</row>
    <row r="34" ht="14.2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</row>
    <row r="35" ht="14.2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</row>
    <row r="36" ht="14.2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</row>
    <row r="37" ht="14.2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</row>
    <row r="38" ht="14.2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</row>
    <row r="39" ht="14.2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</row>
    <row r="40" ht="14.2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</row>
    <row r="41" ht="14.25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</row>
    <row r="42" ht="14.25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</row>
    <row r="43" ht="14.25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</row>
    <row r="44" ht="14.25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</row>
    <row r="45" ht="14.2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</row>
    <row r="46" ht="14.2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</row>
    <row r="47" ht="14.2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</row>
    <row r="48" ht="14.2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</row>
    <row r="49" ht="14.25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</row>
    <row r="50" ht="14.2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</row>
    <row r="51" ht="14.2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</row>
    <row r="52" ht="14.2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</row>
    <row r="53" ht="14.2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</row>
    <row r="54" ht="14.2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</row>
    <row r="55" ht="14.2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</row>
    <row r="56" ht="14.2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</row>
    <row r="57" ht="14.2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</row>
    <row r="58" ht="14.2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</row>
    <row r="59" ht="14.2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</row>
    <row r="60" ht="14.2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</row>
    <row r="61" ht="14.2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</row>
    <row r="62" ht="14.2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</row>
    <row r="63" ht="14.2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</row>
    <row r="64" ht="14.2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</row>
    <row r="65" ht="14.2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</row>
    <row r="66" ht="14.2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</row>
    <row r="67" ht="14.2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</row>
    <row r="68" ht="14.2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</row>
    <row r="69" ht="14.2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</row>
    <row r="70" ht="14.2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</row>
    <row r="71" ht="14.2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</row>
    <row r="72" ht="14.2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</row>
    <row r="73" ht="14.2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</row>
    <row r="74" ht="14.2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</row>
    <row r="75" ht="14.2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</row>
    <row r="76" ht="14.2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</row>
    <row r="77" ht="14.2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</row>
    <row r="78" ht="14.2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</row>
    <row r="79" ht="14.2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</row>
    <row r="80" ht="14.2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</row>
    <row r="81" ht="14.2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</row>
    <row r="82" ht="14.2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</row>
    <row r="83" ht="14.2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</row>
    <row r="84" ht="14.2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</row>
    <row r="85" ht="14.2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</row>
    <row r="86" ht="14.2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</row>
    <row r="87" ht="14.2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</row>
    <row r="88" ht="14.2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</row>
    <row r="89" ht="14.2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</row>
    <row r="90" ht="14.2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</row>
    <row r="91" ht="14.2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</row>
    <row r="92" ht="14.2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</row>
    <row r="93" ht="14.2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</row>
    <row r="94" ht="14.2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</row>
    <row r="95" ht="14.2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</row>
    <row r="96" ht="14.2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</row>
    <row r="97" ht="14.2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</row>
    <row r="98" ht="14.2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</row>
    <row r="99" ht="14.2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</row>
    <row r="100" ht="14.2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</row>
    <row r="101" ht="14.2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</row>
    <row r="102" ht="14.2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</row>
    <row r="103" ht="14.2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</row>
    <row r="104" ht="14.2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</row>
    <row r="105" ht="14.2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</row>
    <row r="106" ht="14.2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</row>
    <row r="107" ht="14.2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</row>
    <row r="108" ht="14.2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</row>
    <row r="109" ht="14.2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</row>
    <row r="110" ht="14.2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</row>
    <row r="111" ht="14.2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</row>
    <row r="112" ht="14.2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</row>
    <row r="113" ht="14.2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</row>
    <row r="114" ht="14.2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</row>
    <row r="115" ht="14.2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</row>
    <row r="116" ht="14.2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</row>
    <row r="117" ht="14.2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</row>
    <row r="118" ht="14.2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</row>
    <row r="119" ht="14.2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</row>
    <row r="120" ht="14.2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</row>
    <row r="121" ht="14.2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</row>
    <row r="122" ht="14.2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</row>
    <row r="123" ht="14.2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</row>
    <row r="124" ht="14.2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</row>
    <row r="125" ht="14.2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</row>
    <row r="126" ht="14.2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</row>
    <row r="127" ht="14.2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</row>
    <row r="128" ht="14.2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</row>
    <row r="129" ht="14.2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</row>
    <row r="130" ht="14.2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</row>
    <row r="131" ht="14.2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</row>
    <row r="132" ht="14.2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</row>
    <row r="133" ht="14.2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</row>
    <row r="134" ht="14.2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</row>
    <row r="135" ht="14.2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</row>
    <row r="136" ht="14.2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</row>
    <row r="137" ht="14.2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</row>
    <row r="138" ht="14.2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</row>
    <row r="139" ht="14.2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</row>
    <row r="140" ht="14.2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</row>
    <row r="141" ht="14.2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</row>
    <row r="142" ht="14.2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</row>
    <row r="143" ht="14.2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</row>
    <row r="144" ht="14.2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</row>
    <row r="145" ht="14.2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</row>
    <row r="146" ht="14.2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</row>
    <row r="147" ht="14.2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</row>
    <row r="148" ht="14.2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</row>
    <row r="149" ht="14.2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</row>
    <row r="150" ht="14.2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</row>
    <row r="151" ht="14.2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</row>
    <row r="152" ht="14.2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</row>
    <row r="153" ht="14.2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</row>
    <row r="154" ht="14.2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</row>
    <row r="155" ht="14.2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</row>
    <row r="156" ht="14.2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</row>
    <row r="157" ht="14.2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</row>
    <row r="158" ht="14.2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</row>
    <row r="159" ht="14.2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</row>
    <row r="160" ht="14.2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</row>
    <row r="161" ht="14.2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</row>
    <row r="162" ht="14.2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</row>
    <row r="163" ht="14.2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</row>
    <row r="164" ht="14.2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</row>
    <row r="165" ht="14.2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</row>
    <row r="166" ht="14.2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</row>
    <row r="167" ht="14.2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</row>
    <row r="168" ht="14.2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</row>
    <row r="169" ht="14.2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</row>
    <row r="170" ht="14.2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</row>
    <row r="171" ht="14.2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</row>
    <row r="172" ht="14.2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</row>
    <row r="173" ht="14.2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</row>
    <row r="174" ht="14.2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</row>
    <row r="175" ht="14.2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</row>
    <row r="176" ht="14.2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</row>
    <row r="177" ht="14.2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</row>
    <row r="178" ht="14.2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</row>
    <row r="179" ht="14.2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</row>
    <row r="180" ht="14.2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</row>
    <row r="181" ht="14.2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</row>
    <row r="182" ht="14.2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</row>
    <row r="183" ht="14.2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</row>
    <row r="184" ht="14.2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</row>
    <row r="185" ht="14.2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</row>
    <row r="186" ht="14.2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</row>
    <row r="187" ht="14.2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</row>
    <row r="188" ht="14.2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</row>
    <row r="189" ht="14.2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</row>
    <row r="190" ht="14.2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</row>
    <row r="191" ht="14.2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</row>
    <row r="192" ht="14.2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</row>
    <row r="193" ht="14.2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</row>
    <row r="194" ht="14.2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</row>
    <row r="195" ht="14.2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</row>
    <row r="196" ht="14.2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</row>
    <row r="197" ht="14.2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</row>
    <row r="198" ht="14.2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</row>
    <row r="199" ht="14.2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</row>
    <row r="200" ht="14.2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</row>
    <row r="201" ht="14.2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</row>
    <row r="202" ht="14.2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</row>
    <row r="203" ht="14.2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</row>
    <row r="204" ht="14.2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</row>
    <row r="205" ht="14.2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</row>
    <row r="206" ht="14.2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</row>
    <row r="207" ht="14.2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</row>
    <row r="208" ht="14.2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</row>
    <row r="209" ht="14.2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</row>
    <row r="210" ht="14.2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</row>
    <row r="211" ht="14.2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</row>
    <row r="212" ht="14.2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</row>
    <row r="213" ht="14.2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</row>
    <row r="214" ht="14.2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</row>
    <row r="215" ht="14.2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</row>
    <row r="216" ht="14.2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</row>
    <row r="217" ht="14.2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</row>
    <row r="218" ht="14.2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</row>
    <row r="219" ht="14.2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</row>
    <row r="220" ht="14.2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</row>
    <row r="221" ht="14.2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</row>
    <row r="222" ht="14.2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</row>
    <row r="223" ht="14.2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</row>
    <row r="224" ht="14.2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</row>
    <row r="225" ht="14.2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</row>
    <row r="226" ht="14.2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</row>
    <row r="227" ht="14.2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</row>
    <row r="228" ht="14.2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</row>
    <row r="229" ht="14.2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</row>
    <row r="230" ht="14.2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</row>
    <row r="231" ht="14.2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</row>
    <row r="232" ht="14.2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</row>
    <row r="233" ht="14.2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</row>
    <row r="234" ht="14.2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</row>
    <row r="235" ht="14.2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</row>
    <row r="236" ht="14.2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</row>
    <row r="237" ht="14.2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</row>
    <row r="238" ht="14.2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</row>
    <row r="239" ht="14.2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</row>
    <row r="240" ht="14.2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</row>
    <row r="241" ht="14.2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</row>
    <row r="242" ht="14.2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</row>
    <row r="243" ht="14.2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</row>
    <row r="244" ht="14.2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</row>
    <row r="245" ht="14.2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</row>
    <row r="246" ht="14.2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</row>
    <row r="247" ht="14.2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</row>
    <row r="248" ht="14.2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</row>
    <row r="249" ht="14.2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</row>
    <row r="250" ht="14.2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</row>
    <row r="251" ht="14.2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</row>
    <row r="252" ht="14.2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</row>
    <row r="253" ht="14.2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</row>
    <row r="254" ht="14.2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</row>
    <row r="255" ht="14.2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</row>
    <row r="256" ht="14.2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</row>
    <row r="257" ht="14.2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</row>
    <row r="258" ht="14.2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</row>
    <row r="259" ht="14.2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</row>
    <row r="260" ht="14.2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</row>
    <row r="261" ht="14.2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</row>
    <row r="262" ht="14.2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</row>
    <row r="263" ht="14.2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</row>
    <row r="264" ht="14.2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</row>
    <row r="265" ht="14.2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</row>
    <row r="266" ht="14.2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</row>
    <row r="267" ht="14.2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</row>
    <row r="268" ht="14.2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</row>
    <row r="269" ht="14.2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</row>
    <row r="270" ht="14.2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</row>
    <row r="271" ht="14.2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</row>
    <row r="272" ht="14.2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</row>
    <row r="273" ht="14.2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</row>
    <row r="274" ht="14.2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</row>
    <row r="275" ht="14.2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</row>
    <row r="276" ht="14.2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</row>
    <row r="277" ht="14.2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</row>
    <row r="278" ht="14.2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</row>
    <row r="279" ht="14.2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</row>
    <row r="280" ht="14.2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</row>
    <row r="281" ht="14.2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</row>
    <row r="282" ht="14.2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</row>
    <row r="283" ht="14.2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</row>
    <row r="284" ht="14.2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</row>
    <row r="285" ht="14.2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</row>
    <row r="286" ht="14.2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</row>
    <row r="287" ht="14.2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</row>
    <row r="288" ht="14.2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</row>
    <row r="289" ht="14.2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</row>
    <row r="290" ht="14.2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</row>
    <row r="291" ht="14.2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</row>
    <row r="292" ht="14.2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</row>
    <row r="293" ht="14.2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</row>
    <row r="294" ht="14.2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</row>
    <row r="295" ht="14.2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</row>
    <row r="296" ht="14.2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</row>
    <row r="297" ht="14.2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</row>
    <row r="298" ht="14.2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</row>
    <row r="299" ht="14.2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</row>
    <row r="300" ht="14.2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</row>
    <row r="301" ht="14.2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</row>
    <row r="302" ht="14.2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</row>
    <row r="303" ht="14.2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</row>
    <row r="304" ht="14.2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</row>
    <row r="305" ht="14.2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</row>
    <row r="306" ht="14.2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</row>
    <row r="307" ht="14.2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</row>
    <row r="308" ht="14.2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</row>
    <row r="309" ht="14.2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</row>
    <row r="310" ht="14.2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</row>
    <row r="311" ht="14.2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</row>
    <row r="312" ht="14.2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</row>
    <row r="313" ht="14.2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</row>
    <row r="314" ht="14.2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</row>
    <row r="315" ht="14.2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</row>
    <row r="316" ht="14.2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</row>
    <row r="317" ht="14.2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</row>
    <row r="318" ht="14.2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</row>
    <row r="319" ht="14.2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</row>
    <row r="320" ht="14.2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</row>
    <row r="321" ht="14.2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</row>
    <row r="322" ht="14.2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</row>
    <row r="323" ht="14.2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</row>
    <row r="324" ht="14.2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</row>
    <row r="325" ht="14.2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</row>
    <row r="326" ht="14.2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</row>
    <row r="327" ht="14.2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</row>
    <row r="328" ht="14.2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</row>
    <row r="329" ht="14.2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</row>
    <row r="330" ht="14.2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</row>
    <row r="331" ht="14.2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</row>
    <row r="332" ht="14.2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</row>
    <row r="333" ht="14.2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</row>
    <row r="334" ht="14.2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</row>
    <row r="335" ht="14.2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</row>
    <row r="336" ht="14.2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</row>
    <row r="337" ht="14.2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</row>
    <row r="338" ht="14.2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</row>
    <row r="339" ht="14.2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</row>
    <row r="340" ht="14.2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</row>
    <row r="341" ht="14.2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</row>
    <row r="342" ht="14.2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</row>
    <row r="343" ht="14.2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</row>
    <row r="344" ht="14.2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</row>
    <row r="345" ht="14.2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</row>
    <row r="346" ht="14.2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</row>
    <row r="347" ht="14.2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</row>
    <row r="348" ht="14.2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</row>
    <row r="349" ht="14.2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</row>
    <row r="350" ht="14.2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</row>
    <row r="351" ht="14.2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</row>
    <row r="352" ht="14.2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</row>
    <row r="353" ht="14.2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</row>
    <row r="354" ht="14.2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</row>
    <row r="355" ht="14.2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</row>
    <row r="356" ht="14.2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</row>
    <row r="357" ht="14.2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</row>
    <row r="358" ht="14.2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</row>
    <row r="359" ht="14.2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</row>
    <row r="360" ht="14.2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</row>
    <row r="361" ht="14.2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</row>
    <row r="362" ht="14.2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</row>
    <row r="363" ht="14.2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</row>
    <row r="364" ht="14.2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</row>
    <row r="365" ht="14.2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</row>
    <row r="366" ht="14.2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</row>
    <row r="367" ht="14.2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</row>
    <row r="368" ht="14.2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</row>
    <row r="369" ht="14.2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</row>
    <row r="370" ht="14.2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</row>
    <row r="371" ht="14.2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</row>
    <row r="372" ht="14.2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</row>
    <row r="373" ht="14.2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</row>
    <row r="374" ht="14.2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</row>
    <row r="375" ht="14.2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</row>
    <row r="376" ht="14.2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</row>
    <row r="377" ht="14.2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</row>
    <row r="378" ht="14.2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</row>
    <row r="379" ht="14.2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</row>
    <row r="380" ht="14.2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</row>
    <row r="381" ht="14.2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</row>
    <row r="382" ht="14.2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</row>
    <row r="383" ht="14.2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</row>
    <row r="384" ht="14.2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</row>
    <row r="385" ht="14.2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</row>
    <row r="386" ht="14.2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</row>
    <row r="387" ht="14.2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</row>
    <row r="388" ht="14.2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</row>
    <row r="389" ht="14.2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</row>
    <row r="390" ht="14.2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</row>
    <row r="391" ht="14.2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</row>
    <row r="392" ht="14.2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</row>
    <row r="393" ht="14.2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</row>
    <row r="394" ht="14.2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</row>
    <row r="395" ht="14.2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</row>
    <row r="396" ht="14.2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</row>
    <row r="397" ht="14.2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</row>
    <row r="398" ht="14.2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</row>
    <row r="399" ht="14.2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</row>
    <row r="400" ht="14.2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</row>
    <row r="401" ht="14.2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</row>
    <row r="402" ht="14.2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</row>
    <row r="403" ht="14.2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</row>
    <row r="404" ht="14.2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</row>
    <row r="405" ht="14.2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</row>
    <row r="406" ht="14.2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</row>
    <row r="407" ht="14.2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</row>
    <row r="408" ht="14.2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</row>
    <row r="409" ht="14.2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</row>
    <row r="410" ht="14.2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</row>
    <row r="411" ht="14.2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</row>
    <row r="412" ht="14.2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</row>
    <row r="413" ht="14.2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</row>
    <row r="414" ht="14.2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</row>
    <row r="415" ht="14.2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</row>
    <row r="416" ht="14.2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</row>
    <row r="417" ht="14.2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</row>
    <row r="418" ht="14.2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</row>
    <row r="419" ht="14.2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</row>
    <row r="420" ht="14.2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</row>
    <row r="421" ht="14.2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</row>
    <row r="422" ht="14.2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</row>
    <row r="423" ht="14.2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</row>
    <row r="424" ht="14.2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</row>
    <row r="425" ht="14.2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</row>
    <row r="426" ht="14.2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</row>
    <row r="427" ht="14.2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</row>
    <row r="428" ht="14.2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</row>
    <row r="429" ht="14.2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</row>
    <row r="430" ht="14.2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</row>
    <row r="431" ht="14.2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</row>
    <row r="432" ht="14.2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</row>
    <row r="433" ht="14.2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</row>
    <row r="434" ht="14.2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</row>
    <row r="435" ht="14.2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</row>
    <row r="436" ht="14.2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</row>
    <row r="437" ht="14.2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</row>
    <row r="438" ht="14.2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</row>
    <row r="439" ht="14.2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</row>
    <row r="440" ht="14.2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</row>
    <row r="441" ht="14.2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</row>
    <row r="442" ht="14.2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</row>
    <row r="443" ht="14.2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</row>
    <row r="444" ht="14.2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</row>
    <row r="445" ht="14.2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</row>
    <row r="446" ht="14.2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</row>
    <row r="447" ht="14.2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</row>
    <row r="448" ht="14.2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</row>
    <row r="449" ht="14.2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</row>
    <row r="450" ht="14.2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</row>
    <row r="451" ht="14.2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</row>
    <row r="452" ht="14.2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</row>
    <row r="453" ht="14.2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</row>
    <row r="454" ht="14.2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</row>
    <row r="455" ht="14.2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</row>
    <row r="456" ht="14.2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</row>
    <row r="457" ht="14.2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</row>
    <row r="458" ht="14.2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</row>
    <row r="459" ht="14.2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</row>
    <row r="460" ht="14.2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</row>
    <row r="461" ht="14.2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</row>
    <row r="462" ht="14.2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</row>
    <row r="463" ht="14.2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</row>
    <row r="464" ht="14.2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</row>
    <row r="465" ht="14.2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</row>
    <row r="466" ht="14.2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</row>
    <row r="467" ht="14.2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</row>
    <row r="468" ht="14.2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</row>
    <row r="469" ht="14.2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</row>
    <row r="470" ht="14.2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</row>
    <row r="471" ht="14.2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</row>
    <row r="472" ht="14.2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</row>
    <row r="473" ht="14.2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</row>
    <row r="474" ht="14.2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</row>
    <row r="475" ht="14.2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</row>
    <row r="476" ht="14.2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</row>
    <row r="477" ht="14.2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</row>
    <row r="478" ht="14.2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</row>
    <row r="479" ht="14.2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</row>
    <row r="480" ht="14.2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</row>
    <row r="481" ht="14.2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</row>
    <row r="482" ht="14.2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</row>
    <row r="483" ht="14.2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</row>
    <row r="484" ht="14.2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</row>
    <row r="485" ht="14.2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</row>
    <row r="486" ht="14.2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</row>
    <row r="487" ht="14.2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</row>
    <row r="488" ht="14.2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</row>
    <row r="489" ht="14.2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</row>
    <row r="490" ht="14.2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</row>
    <row r="491" ht="14.2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</row>
    <row r="492" ht="14.2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</row>
    <row r="493" ht="14.2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</row>
    <row r="494" ht="14.2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</row>
    <row r="495" ht="14.2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</row>
    <row r="496" ht="14.2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</row>
    <row r="497" ht="14.2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</row>
    <row r="498" ht="14.2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</row>
    <row r="499" ht="14.2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</row>
    <row r="500" ht="14.2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</row>
    <row r="501" ht="14.2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</row>
    <row r="502" ht="14.2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</row>
    <row r="503" ht="14.2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</row>
    <row r="504" ht="14.2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</row>
    <row r="505" ht="14.2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</row>
    <row r="506" ht="14.2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</row>
    <row r="507" ht="14.2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</row>
    <row r="508" ht="14.2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</row>
    <row r="509" ht="14.2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</row>
    <row r="510" ht="14.2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</row>
    <row r="511" ht="14.2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</row>
    <row r="512" ht="14.2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</row>
    <row r="513" ht="14.2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</row>
    <row r="514" ht="14.2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</row>
    <row r="515" ht="14.2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</row>
    <row r="516" ht="14.2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</row>
    <row r="517" ht="14.2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</row>
    <row r="518" ht="14.2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</row>
    <row r="519" ht="14.2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</row>
    <row r="520" ht="14.2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</row>
    <row r="521" ht="14.2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</row>
    <row r="522" ht="14.2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</row>
    <row r="523" ht="14.2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</row>
    <row r="524" ht="14.2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</row>
    <row r="525" ht="14.2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</row>
    <row r="526" ht="14.2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</row>
    <row r="527" ht="14.2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</row>
    <row r="528" ht="14.2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</row>
    <row r="529" ht="14.2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</row>
    <row r="530" ht="14.2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</row>
    <row r="531" ht="14.2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</row>
    <row r="532" ht="14.2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</row>
    <row r="533" ht="14.2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</row>
    <row r="534" ht="14.2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</row>
    <row r="535" ht="14.2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</row>
    <row r="536" ht="14.2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</row>
    <row r="537" ht="14.2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</row>
    <row r="538" ht="14.2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</row>
    <row r="539" ht="14.2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</row>
    <row r="540" ht="14.2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</row>
    <row r="541" ht="14.2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</row>
    <row r="542" ht="14.2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</row>
    <row r="543" ht="14.2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</row>
    <row r="544" ht="14.2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</row>
    <row r="545" ht="14.2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</row>
    <row r="546" ht="14.2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</row>
    <row r="547" ht="14.2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</row>
    <row r="548" ht="14.2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</row>
    <row r="549" ht="14.2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</row>
    <row r="550" ht="14.2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</row>
    <row r="551" ht="14.2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</row>
    <row r="552" ht="14.2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</row>
    <row r="553" ht="14.2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</row>
    <row r="554" ht="14.2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</row>
    <row r="555" ht="14.2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</row>
    <row r="556" ht="14.2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</row>
    <row r="557" ht="14.2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</row>
    <row r="558" ht="14.2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</row>
    <row r="559" ht="14.2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</row>
    <row r="560" ht="14.2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</row>
    <row r="561" ht="14.2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</row>
    <row r="562" ht="14.2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</row>
    <row r="563" ht="14.2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</row>
    <row r="564" ht="14.2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</row>
    <row r="565" ht="14.2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  <c r="AC565" s="1" t="n"/>
      <c r="AD565" s="1" t="n"/>
      <c r="AE565" s="1" t="n"/>
      <c r="AF565" s="1" t="n"/>
      <c r="AG565" s="1" t="n"/>
      <c r="AH565" s="1" t="n"/>
    </row>
    <row r="566" ht="14.2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  <c r="AC566" s="1" t="n"/>
      <c r="AD566" s="1" t="n"/>
      <c r="AE566" s="1" t="n"/>
      <c r="AF566" s="1" t="n"/>
      <c r="AG566" s="1" t="n"/>
      <c r="AH566" s="1" t="n"/>
    </row>
    <row r="567" ht="14.2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  <c r="AC567" s="1" t="n"/>
      <c r="AD567" s="1" t="n"/>
      <c r="AE567" s="1" t="n"/>
      <c r="AF567" s="1" t="n"/>
      <c r="AG567" s="1" t="n"/>
      <c r="AH567" s="1" t="n"/>
    </row>
    <row r="568" ht="14.2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  <c r="AC568" s="1" t="n"/>
      <c r="AD568" s="1" t="n"/>
      <c r="AE568" s="1" t="n"/>
      <c r="AF568" s="1" t="n"/>
      <c r="AG568" s="1" t="n"/>
      <c r="AH568" s="1" t="n"/>
    </row>
    <row r="569" ht="14.2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  <c r="AC569" s="1" t="n"/>
      <c r="AD569" s="1" t="n"/>
      <c r="AE569" s="1" t="n"/>
      <c r="AF569" s="1" t="n"/>
      <c r="AG569" s="1" t="n"/>
      <c r="AH569" s="1" t="n"/>
    </row>
    <row r="570" ht="14.2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  <c r="AC570" s="1" t="n"/>
      <c r="AD570" s="1" t="n"/>
      <c r="AE570" s="1" t="n"/>
      <c r="AF570" s="1" t="n"/>
      <c r="AG570" s="1" t="n"/>
      <c r="AH570" s="1" t="n"/>
    </row>
    <row r="571" ht="14.2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  <c r="AC571" s="1" t="n"/>
      <c r="AD571" s="1" t="n"/>
      <c r="AE571" s="1" t="n"/>
      <c r="AF571" s="1" t="n"/>
      <c r="AG571" s="1" t="n"/>
      <c r="AH571" s="1" t="n"/>
    </row>
    <row r="572" ht="14.2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  <c r="AC572" s="1" t="n"/>
      <c r="AD572" s="1" t="n"/>
      <c r="AE572" s="1" t="n"/>
      <c r="AF572" s="1" t="n"/>
      <c r="AG572" s="1" t="n"/>
      <c r="AH572" s="1" t="n"/>
    </row>
    <row r="573" ht="14.2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  <c r="AC573" s="1" t="n"/>
      <c r="AD573" s="1" t="n"/>
      <c r="AE573" s="1" t="n"/>
      <c r="AF573" s="1" t="n"/>
      <c r="AG573" s="1" t="n"/>
      <c r="AH573" s="1" t="n"/>
    </row>
    <row r="574" ht="14.2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  <c r="AC574" s="1" t="n"/>
      <c r="AD574" s="1" t="n"/>
      <c r="AE574" s="1" t="n"/>
      <c r="AF574" s="1" t="n"/>
      <c r="AG574" s="1" t="n"/>
      <c r="AH574" s="1" t="n"/>
    </row>
    <row r="575" ht="14.2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  <c r="AC575" s="1" t="n"/>
      <c r="AD575" s="1" t="n"/>
      <c r="AE575" s="1" t="n"/>
      <c r="AF575" s="1" t="n"/>
      <c r="AG575" s="1" t="n"/>
      <c r="AH575" s="1" t="n"/>
    </row>
    <row r="576" ht="14.2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  <c r="AC576" s="1" t="n"/>
      <c r="AD576" s="1" t="n"/>
      <c r="AE576" s="1" t="n"/>
      <c r="AF576" s="1" t="n"/>
      <c r="AG576" s="1" t="n"/>
      <c r="AH576" s="1" t="n"/>
    </row>
    <row r="577" ht="14.2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  <c r="AC577" s="1" t="n"/>
      <c r="AD577" s="1" t="n"/>
      <c r="AE577" s="1" t="n"/>
      <c r="AF577" s="1" t="n"/>
      <c r="AG577" s="1" t="n"/>
      <c r="AH577" s="1" t="n"/>
    </row>
    <row r="578" ht="14.2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  <c r="AC578" s="1" t="n"/>
      <c r="AD578" s="1" t="n"/>
      <c r="AE578" s="1" t="n"/>
      <c r="AF578" s="1" t="n"/>
      <c r="AG578" s="1" t="n"/>
      <c r="AH578" s="1" t="n"/>
    </row>
    <row r="579" ht="14.2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  <c r="AC579" s="1" t="n"/>
      <c r="AD579" s="1" t="n"/>
      <c r="AE579" s="1" t="n"/>
      <c r="AF579" s="1" t="n"/>
      <c r="AG579" s="1" t="n"/>
      <c r="AH579" s="1" t="n"/>
    </row>
    <row r="580" ht="14.2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  <c r="AC580" s="1" t="n"/>
      <c r="AD580" s="1" t="n"/>
      <c r="AE580" s="1" t="n"/>
      <c r="AF580" s="1" t="n"/>
      <c r="AG580" s="1" t="n"/>
      <c r="AH580" s="1" t="n"/>
    </row>
    <row r="581" ht="14.2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  <c r="AC581" s="1" t="n"/>
      <c r="AD581" s="1" t="n"/>
      <c r="AE581" s="1" t="n"/>
      <c r="AF581" s="1" t="n"/>
      <c r="AG581" s="1" t="n"/>
      <c r="AH581" s="1" t="n"/>
    </row>
    <row r="582" ht="14.2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  <c r="AC582" s="1" t="n"/>
      <c r="AD582" s="1" t="n"/>
      <c r="AE582" s="1" t="n"/>
      <c r="AF582" s="1" t="n"/>
      <c r="AG582" s="1" t="n"/>
      <c r="AH582" s="1" t="n"/>
    </row>
    <row r="583" ht="14.2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  <c r="AC583" s="1" t="n"/>
      <c r="AD583" s="1" t="n"/>
      <c r="AE583" s="1" t="n"/>
      <c r="AF583" s="1" t="n"/>
      <c r="AG583" s="1" t="n"/>
      <c r="AH583" s="1" t="n"/>
    </row>
    <row r="584" ht="14.2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  <c r="AC584" s="1" t="n"/>
      <c r="AD584" s="1" t="n"/>
      <c r="AE584" s="1" t="n"/>
      <c r="AF584" s="1" t="n"/>
      <c r="AG584" s="1" t="n"/>
      <c r="AH584" s="1" t="n"/>
    </row>
    <row r="585" ht="14.2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  <c r="AC585" s="1" t="n"/>
      <c r="AD585" s="1" t="n"/>
      <c r="AE585" s="1" t="n"/>
      <c r="AF585" s="1" t="n"/>
      <c r="AG585" s="1" t="n"/>
      <c r="AH585" s="1" t="n"/>
    </row>
    <row r="586" ht="14.2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  <c r="AC586" s="1" t="n"/>
      <c r="AD586" s="1" t="n"/>
      <c r="AE586" s="1" t="n"/>
      <c r="AF586" s="1" t="n"/>
      <c r="AG586" s="1" t="n"/>
      <c r="AH586" s="1" t="n"/>
    </row>
    <row r="587" ht="14.2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  <c r="AC587" s="1" t="n"/>
      <c r="AD587" s="1" t="n"/>
      <c r="AE587" s="1" t="n"/>
      <c r="AF587" s="1" t="n"/>
      <c r="AG587" s="1" t="n"/>
      <c r="AH587" s="1" t="n"/>
    </row>
    <row r="588" ht="14.2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  <c r="AC588" s="1" t="n"/>
      <c r="AD588" s="1" t="n"/>
      <c r="AE588" s="1" t="n"/>
      <c r="AF588" s="1" t="n"/>
      <c r="AG588" s="1" t="n"/>
      <c r="AH588" s="1" t="n"/>
    </row>
    <row r="589" ht="14.2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  <c r="AC589" s="1" t="n"/>
      <c r="AD589" s="1" t="n"/>
      <c r="AE589" s="1" t="n"/>
      <c r="AF589" s="1" t="n"/>
      <c r="AG589" s="1" t="n"/>
      <c r="AH589" s="1" t="n"/>
    </row>
    <row r="590" ht="14.2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  <c r="AC590" s="1" t="n"/>
      <c r="AD590" s="1" t="n"/>
      <c r="AE590" s="1" t="n"/>
      <c r="AF590" s="1" t="n"/>
      <c r="AG590" s="1" t="n"/>
      <c r="AH590" s="1" t="n"/>
    </row>
    <row r="591" ht="14.2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  <c r="AC591" s="1" t="n"/>
      <c r="AD591" s="1" t="n"/>
      <c r="AE591" s="1" t="n"/>
      <c r="AF591" s="1" t="n"/>
      <c r="AG591" s="1" t="n"/>
      <c r="AH591" s="1" t="n"/>
    </row>
    <row r="592" ht="14.2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  <c r="AC592" s="1" t="n"/>
      <c r="AD592" s="1" t="n"/>
      <c r="AE592" s="1" t="n"/>
      <c r="AF592" s="1" t="n"/>
      <c r="AG592" s="1" t="n"/>
      <c r="AH592" s="1" t="n"/>
    </row>
    <row r="593" ht="14.2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  <c r="AC593" s="1" t="n"/>
      <c r="AD593" s="1" t="n"/>
      <c r="AE593" s="1" t="n"/>
      <c r="AF593" s="1" t="n"/>
      <c r="AG593" s="1" t="n"/>
      <c r="AH593" s="1" t="n"/>
    </row>
    <row r="594" ht="14.2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  <c r="AC594" s="1" t="n"/>
      <c r="AD594" s="1" t="n"/>
      <c r="AE594" s="1" t="n"/>
      <c r="AF594" s="1" t="n"/>
      <c r="AG594" s="1" t="n"/>
      <c r="AH594" s="1" t="n"/>
    </row>
    <row r="595" ht="14.2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  <c r="AC595" s="1" t="n"/>
      <c r="AD595" s="1" t="n"/>
      <c r="AE595" s="1" t="n"/>
      <c r="AF595" s="1" t="n"/>
      <c r="AG595" s="1" t="n"/>
      <c r="AH595" s="1" t="n"/>
    </row>
    <row r="596" ht="14.2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  <c r="AC596" s="1" t="n"/>
      <c r="AD596" s="1" t="n"/>
      <c r="AE596" s="1" t="n"/>
      <c r="AF596" s="1" t="n"/>
      <c r="AG596" s="1" t="n"/>
      <c r="AH596" s="1" t="n"/>
    </row>
    <row r="597" ht="14.2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  <c r="AC597" s="1" t="n"/>
      <c r="AD597" s="1" t="n"/>
      <c r="AE597" s="1" t="n"/>
      <c r="AF597" s="1" t="n"/>
      <c r="AG597" s="1" t="n"/>
      <c r="AH597" s="1" t="n"/>
    </row>
    <row r="598" ht="14.2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  <c r="AC598" s="1" t="n"/>
      <c r="AD598" s="1" t="n"/>
      <c r="AE598" s="1" t="n"/>
      <c r="AF598" s="1" t="n"/>
      <c r="AG598" s="1" t="n"/>
      <c r="AH598" s="1" t="n"/>
    </row>
    <row r="599" ht="14.2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  <c r="AC599" s="1" t="n"/>
      <c r="AD599" s="1" t="n"/>
      <c r="AE599" s="1" t="n"/>
      <c r="AF599" s="1" t="n"/>
      <c r="AG599" s="1" t="n"/>
      <c r="AH599" s="1" t="n"/>
    </row>
    <row r="600" ht="14.2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  <c r="AC600" s="1" t="n"/>
      <c r="AD600" s="1" t="n"/>
      <c r="AE600" s="1" t="n"/>
      <c r="AF600" s="1" t="n"/>
      <c r="AG600" s="1" t="n"/>
      <c r="AH600" s="1" t="n"/>
    </row>
    <row r="601" ht="14.2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  <c r="AC601" s="1" t="n"/>
      <c r="AD601" s="1" t="n"/>
      <c r="AE601" s="1" t="n"/>
      <c r="AF601" s="1" t="n"/>
      <c r="AG601" s="1" t="n"/>
      <c r="AH601" s="1" t="n"/>
    </row>
    <row r="602" ht="14.2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  <c r="AC602" s="1" t="n"/>
      <c r="AD602" s="1" t="n"/>
      <c r="AE602" s="1" t="n"/>
      <c r="AF602" s="1" t="n"/>
      <c r="AG602" s="1" t="n"/>
      <c r="AH602" s="1" t="n"/>
    </row>
    <row r="603" ht="14.2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  <c r="AC603" s="1" t="n"/>
      <c r="AD603" s="1" t="n"/>
      <c r="AE603" s="1" t="n"/>
      <c r="AF603" s="1" t="n"/>
      <c r="AG603" s="1" t="n"/>
      <c r="AH603" s="1" t="n"/>
    </row>
    <row r="604" ht="14.2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  <c r="AC604" s="1" t="n"/>
      <c r="AD604" s="1" t="n"/>
      <c r="AE604" s="1" t="n"/>
      <c r="AF604" s="1" t="n"/>
      <c r="AG604" s="1" t="n"/>
      <c r="AH604" s="1" t="n"/>
    </row>
    <row r="605" ht="14.2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  <c r="AC605" s="1" t="n"/>
      <c r="AD605" s="1" t="n"/>
      <c r="AE605" s="1" t="n"/>
      <c r="AF605" s="1" t="n"/>
      <c r="AG605" s="1" t="n"/>
      <c r="AH605" s="1" t="n"/>
    </row>
    <row r="606" ht="14.2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  <c r="AC606" s="1" t="n"/>
      <c r="AD606" s="1" t="n"/>
      <c r="AE606" s="1" t="n"/>
      <c r="AF606" s="1" t="n"/>
      <c r="AG606" s="1" t="n"/>
      <c r="AH606" s="1" t="n"/>
    </row>
    <row r="607" ht="14.2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  <c r="AC607" s="1" t="n"/>
      <c r="AD607" s="1" t="n"/>
      <c r="AE607" s="1" t="n"/>
      <c r="AF607" s="1" t="n"/>
      <c r="AG607" s="1" t="n"/>
      <c r="AH607" s="1" t="n"/>
    </row>
    <row r="608" ht="14.2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  <c r="AC608" s="1" t="n"/>
      <c r="AD608" s="1" t="n"/>
      <c r="AE608" s="1" t="n"/>
      <c r="AF608" s="1" t="n"/>
      <c r="AG608" s="1" t="n"/>
      <c r="AH608" s="1" t="n"/>
    </row>
    <row r="609" ht="14.2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  <c r="AC609" s="1" t="n"/>
      <c r="AD609" s="1" t="n"/>
      <c r="AE609" s="1" t="n"/>
      <c r="AF609" s="1" t="n"/>
      <c r="AG609" s="1" t="n"/>
      <c r="AH609" s="1" t="n"/>
    </row>
    <row r="610" ht="14.2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  <c r="AC610" s="1" t="n"/>
      <c r="AD610" s="1" t="n"/>
      <c r="AE610" s="1" t="n"/>
      <c r="AF610" s="1" t="n"/>
      <c r="AG610" s="1" t="n"/>
      <c r="AH610" s="1" t="n"/>
    </row>
    <row r="611" ht="14.2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  <c r="AC611" s="1" t="n"/>
      <c r="AD611" s="1" t="n"/>
      <c r="AE611" s="1" t="n"/>
      <c r="AF611" s="1" t="n"/>
      <c r="AG611" s="1" t="n"/>
      <c r="AH611" s="1" t="n"/>
    </row>
    <row r="612" ht="14.2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  <c r="AC612" s="1" t="n"/>
      <c r="AD612" s="1" t="n"/>
      <c r="AE612" s="1" t="n"/>
      <c r="AF612" s="1" t="n"/>
      <c r="AG612" s="1" t="n"/>
      <c r="AH612" s="1" t="n"/>
    </row>
    <row r="613" ht="14.2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  <c r="AC613" s="1" t="n"/>
      <c r="AD613" s="1" t="n"/>
      <c r="AE613" s="1" t="n"/>
      <c r="AF613" s="1" t="n"/>
      <c r="AG613" s="1" t="n"/>
      <c r="AH613" s="1" t="n"/>
    </row>
    <row r="614" ht="14.2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  <c r="AC614" s="1" t="n"/>
      <c r="AD614" s="1" t="n"/>
      <c r="AE614" s="1" t="n"/>
      <c r="AF614" s="1" t="n"/>
      <c r="AG614" s="1" t="n"/>
      <c r="AH614" s="1" t="n"/>
    </row>
    <row r="615" ht="14.2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  <c r="AC615" s="1" t="n"/>
      <c r="AD615" s="1" t="n"/>
      <c r="AE615" s="1" t="n"/>
      <c r="AF615" s="1" t="n"/>
      <c r="AG615" s="1" t="n"/>
      <c r="AH615" s="1" t="n"/>
    </row>
    <row r="616" ht="14.2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  <c r="AC616" s="1" t="n"/>
      <c r="AD616" s="1" t="n"/>
      <c r="AE616" s="1" t="n"/>
      <c r="AF616" s="1" t="n"/>
      <c r="AG616" s="1" t="n"/>
      <c r="AH616" s="1" t="n"/>
    </row>
    <row r="617" ht="14.2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  <c r="AC617" s="1" t="n"/>
      <c r="AD617" s="1" t="n"/>
      <c r="AE617" s="1" t="n"/>
      <c r="AF617" s="1" t="n"/>
      <c r="AG617" s="1" t="n"/>
      <c r="AH617" s="1" t="n"/>
    </row>
    <row r="618" ht="14.2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  <c r="AC618" s="1" t="n"/>
      <c r="AD618" s="1" t="n"/>
      <c r="AE618" s="1" t="n"/>
      <c r="AF618" s="1" t="n"/>
      <c r="AG618" s="1" t="n"/>
      <c r="AH618" s="1" t="n"/>
    </row>
    <row r="619" ht="14.2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  <c r="AC619" s="1" t="n"/>
      <c r="AD619" s="1" t="n"/>
      <c r="AE619" s="1" t="n"/>
      <c r="AF619" s="1" t="n"/>
      <c r="AG619" s="1" t="n"/>
      <c r="AH619" s="1" t="n"/>
    </row>
    <row r="620" ht="14.2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  <c r="AC620" s="1" t="n"/>
      <c r="AD620" s="1" t="n"/>
      <c r="AE620" s="1" t="n"/>
      <c r="AF620" s="1" t="n"/>
      <c r="AG620" s="1" t="n"/>
      <c r="AH620" s="1" t="n"/>
    </row>
    <row r="621" ht="14.2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  <c r="AC621" s="1" t="n"/>
      <c r="AD621" s="1" t="n"/>
      <c r="AE621" s="1" t="n"/>
      <c r="AF621" s="1" t="n"/>
      <c r="AG621" s="1" t="n"/>
      <c r="AH621" s="1" t="n"/>
    </row>
    <row r="622" ht="14.2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  <c r="AC622" s="1" t="n"/>
      <c r="AD622" s="1" t="n"/>
      <c r="AE622" s="1" t="n"/>
      <c r="AF622" s="1" t="n"/>
      <c r="AG622" s="1" t="n"/>
      <c r="AH622" s="1" t="n"/>
    </row>
    <row r="623" ht="14.2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  <c r="AC623" s="1" t="n"/>
      <c r="AD623" s="1" t="n"/>
      <c r="AE623" s="1" t="n"/>
      <c r="AF623" s="1" t="n"/>
      <c r="AG623" s="1" t="n"/>
      <c r="AH623" s="1" t="n"/>
    </row>
    <row r="624" ht="14.2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  <c r="AC624" s="1" t="n"/>
      <c r="AD624" s="1" t="n"/>
      <c r="AE624" s="1" t="n"/>
      <c r="AF624" s="1" t="n"/>
      <c r="AG624" s="1" t="n"/>
      <c r="AH624" s="1" t="n"/>
    </row>
    <row r="625" ht="14.2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  <c r="AC625" s="1" t="n"/>
      <c r="AD625" s="1" t="n"/>
      <c r="AE625" s="1" t="n"/>
      <c r="AF625" s="1" t="n"/>
      <c r="AG625" s="1" t="n"/>
      <c r="AH625" s="1" t="n"/>
    </row>
    <row r="626" ht="14.2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  <c r="AC626" s="1" t="n"/>
      <c r="AD626" s="1" t="n"/>
      <c r="AE626" s="1" t="n"/>
      <c r="AF626" s="1" t="n"/>
      <c r="AG626" s="1" t="n"/>
      <c r="AH626" s="1" t="n"/>
    </row>
    <row r="627" ht="14.2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  <c r="AC627" s="1" t="n"/>
      <c r="AD627" s="1" t="n"/>
      <c r="AE627" s="1" t="n"/>
      <c r="AF627" s="1" t="n"/>
      <c r="AG627" s="1" t="n"/>
      <c r="AH627" s="1" t="n"/>
    </row>
    <row r="628" ht="14.2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  <c r="AC628" s="1" t="n"/>
      <c r="AD628" s="1" t="n"/>
      <c r="AE628" s="1" t="n"/>
      <c r="AF628" s="1" t="n"/>
      <c r="AG628" s="1" t="n"/>
      <c r="AH628" s="1" t="n"/>
    </row>
    <row r="629" ht="14.2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  <c r="AC629" s="1" t="n"/>
      <c r="AD629" s="1" t="n"/>
      <c r="AE629" s="1" t="n"/>
      <c r="AF629" s="1" t="n"/>
      <c r="AG629" s="1" t="n"/>
      <c r="AH629" s="1" t="n"/>
    </row>
    <row r="630" ht="14.2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  <c r="AC630" s="1" t="n"/>
      <c r="AD630" s="1" t="n"/>
      <c r="AE630" s="1" t="n"/>
      <c r="AF630" s="1" t="n"/>
      <c r="AG630" s="1" t="n"/>
      <c r="AH630" s="1" t="n"/>
    </row>
    <row r="631" ht="14.2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  <c r="AC631" s="1" t="n"/>
      <c r="AD631" s="1" t="n"/>
      <c r="AE631" s="1" t="n"/>
      <c r="AF631" s="1" t="n"/>
      <c r="AG631" s="1" t="n"/>
      <c r="AH631" s="1" t="n"/>
    </row>
    <row r="632" ht="14.2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  <c r="AC632" s="1" t="n"/>
      <c r="AD632" s="1" t="n"/>
      <c r="AE632" s="1" t="n"/>
      <c r="AF632" s="1" t="n"/>
      <c r="AG632" s="1" t="n"/>
      <c r="AH632" s="1" t="n"/>
    </row>
    <row r="633" ht="14.2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  <c r="AC633" s="1" t="n"/>
      <c r="AD633" s="1" t="n"/>
      <c r="AE633" s="1" t="n"/>
      <c r="AF633" s="1" t="n"/>
      <c r="AG633" s="1" t="n"/>
      <c r="AH633" s="1" t="n"/>
    </row>
    <row r="634" ht="14.2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  <c r="AC634" s="1" t="n"/>
      <c r="AD634" s="1" t="n"/>
      <c r="AE634" s="1" t="n"/>
      <c r="AF634" s="1" t="n"/>
      <c r="AG634" s="1" t="n"/>
      <c r="AH634" s="1" t="n"/>
    </row>
    <row r="635" ht="14.2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  <c r="AC635" s="1" t="n"/>
      <c r="AD635" s="1" t="n"/>
      <c r="AE635" s="1" t="n"/>
      <c r="AF635" s="1" t="n"/>
      <c r="AG635" s="1" t="n"/>
      <c r="AH635" s="1" t="n"/>
    </row>
    <row r="636" ht="14.2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  <c r="AC636" s="1" t="n"/>
      <c r="AD636" s="1" t="n"/>
      <c r="AE636" s="1" t="n"/>
      <c r="AF636" s="1" t="n"/>
      <c r="AG636" s="1" t="n"/>
      <c r="AH636" s="1" t="n"/>
    </row>
    <row r="637" ht="14.2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  <c r="AC637" s="1" t="n"/>
      <c r="AD637" s="1" t="n"/>
      <c r="AE637" s="1" t="n"/>
      <c r="AF637" s="1" t="n"/>
      <c r="AG637" s="1" t="n"/>
      <c r="AH637" s="1" t="n"/>
    </row>
    <row r="638" ht="14.2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  <c r="AC638" s="1" t="n"/>
      <c r="AD638" s="1" t="n"/>
      <c r="AE638" s="1" t="n"/>
      <c r="AF638" s="1" t="n"/>
      <c r="AG638" s="1" t="n"/>
      <c r="AH638" s="1" t="n"/>
    </row>
    <row r="639" ht="14.2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  <c r="AC639" s="1" t="n"/>
      <c r="AD639" s="1" t="n"/>
      <c r="AE639" s="1" t="n"/>
      <c r="AF639" s="1" t="n"/>
      <c r="AG639" s="1" t="n"/>
      <c r="AH639" s="1" t="n"/>
    </row>
    <row r="640" ht="14.2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  <c r="AC640" s="1" t="n"/>
      <c r="AD640" s="1" t="n"/>
      <c r="AE640" s="1" t="n"/>
      <c r="AF640" s="1" t="n"/>
      <c r="AG640" s="1" t="n"/>
      <c r="AH640" s="1" t="n"/>
    </row>
    <row r="641" ht="14.2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  <c r="AC641" s="1" t="n"/>
      <c r="AD641" s="1" t="n"/>
      <c r="AE641" s="1" t="n"/>
      <c r="AF641" s="1" t="n"/>
      <c r="AG641" s="1" t="n"/>
      <c r="AH641" s="1" t="n"/>
    </row>
    <row r="642" ht="14.2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  <c r="AC642" s="1" t="n"/>
      <c r="AD642" s="1" t="n"/>
      <c r="AE642" s="1" t="n"/>
      <c r="AF642" s="1" t="n"/>
      <c r="AG642" s="1" t="n"/>
      <c r="AH642" s="1" t="n"/>
    </row>
    <row r="643" ht="14.2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  <c r="AC643" s="1" t="n"/>
      <c r="AD643" s="1" t="n"/>
      <c r="AE643" s="1" t="n"/>
      <c r="AF643" s="1" t="n"/>
      <c r="AG643" s="1" t="n"/>
      <c r="AH643" s="1" t="n"/>
    </row>
    <row r="644" ht="14.2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  <c r="AC644" s="1" t="n"/>
      <c r="AD644" s="1" t="n"/>
      <c r="AE644" s="1" t="n"/>
      <c r="AF644" s="1" t="n"/>
      <c r="AG644" s="1" t="n"/>
      <c r="AH644" s="1" t="n"/>
    </row>
    <row r="645" ht="14.2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  <c r="AC645" s="1" t="n"/>
      <c r="AD645" s="1" t="n"/>
      <c r="AE645" s="1" t="n"/>
      <c r="AF645" s="1" t="n"/>
      <c r="AG645" s="1" t="n"/>
      <c r="AH645" s="1" t="n"/>
    </row>
    <row r="646" ht="14.2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  <c r="AC646" s="1" t="n"/>
      <c r="AD646" s="1" t="n"/>
      <c r="AE646" s="1" t="n"/>
      <c r="AF646" s="1" t="n"/>
      <c r="AG646" s="1" t="n"/>
      <c r="AH646" s="1" t="n"/>
    </row>
    <row r="647" ht="14.2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  <c r="AC647" s="1" t="n"/>
      <c r="AD647" s="1" t="n"/>
      <c r="AE647" s="1" t="n"/>
      <c r="AF647" s="1" t="n"/>
      <c r="AG647" s="1" t="n"/>
      <c r="AH647" s="1" t="n"/>
    </row>
    <row r="648" ht="14.2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  <c r="AC648" s="1" t="n"/>
      <c r="AD648" s="1" t="n"/>
      <c r="AE648" s="1" t="n"/>
      <c r="AF648" s="1" t="n"/>
      <c r="AG648" s="1" t="n"/>
      <c r="AH648" s="1" t="n"/>
    </row>
    <row r="649" ht="14.2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  <c r="AC649" s="1" t="n"/>
      <c r="AD649" s="1" t="n"/>
      <c r="AE649" s="1" t="n"/>
      <c r="AF649" s="1" t="n"/>
      <c r="AG649" s="1" t="n"/>
      <c r="AH649" s="1" t="n"/>
    </row>
    <row r="650" ht="14.2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  <c r="AC650" s="1" t="n"/>
      <c r="AD650" s="1" t="n"/>
      <c r="AE650" s="1" t="n"/>
      <c r="AF650" s="1" t="n"/>
      <c r="AG650" s="1" t="n"/>
      <c r="AH650" s="1" t="n"/>
    </row>
    <row r="651" ht="14.2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  <c r="AC651" s="1" t="n"/>
      <c r="AD651" s="1" t="n"/>
      <c r="AE651" s="1" t="n"/>
      <c r="AF651" s="1" t="n"/>
      <c r="AG651" s="1" t="n"/>
      <c r="AH651" s="1" t="n"/>
    </row>
    <row r="652" ht="14.2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  <c r="AC652" s="1" t="n"/>
      <c r="AD652" s="1" t="n"/>
      <c r="AE652" s="1" t="n"/>
      <c r="AF652" s="1" t="n"/>
      <c r="AG652" s="1" t="n"/>
      <c r="AH652" s="1" t="n"/>
    </row>
    <row r="653" ht="14.2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  <c r="AC653" s="1" t="n"/>
      <c r="AD653" s="1" t="n"/>
      <c r="AE653" s="1" t="n"/>
      <c r="AF653" s="1" t="n"/>
      <c r="AG653" s="1" t="n"/>
      <c r="AH653" s="1" t="n"/>
    </row>
    <row r="654" ht="14.2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  <c r="AC654" s="1" t="n"/>
      <c r="AD654" s="1" t="n"/>
      <c r="AE654" s="1" t="n"/>
      <c r="AF654" s="1" t="n"/>
      <c r="AG654" s="1" t="n"/>
      <c r="AH654" s="1" t="n"/>
    </row>
    <row r="655" ht="14.2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  <c r="AC655" s="1" t="n"/>
      <c r="AD655" s="1" t="n"/>
      <c r="AE655" s="1" t="n"/>
      <c r="AF655" s="1" t="n"/>
      <c r="AG655" s="1" t="n"/>
      <c r="AH655" s="1" t="n"/>
    </row>
    <row r="656" ht="14.2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  <c r="AC656" s="1" t="n"/>
      <c r="AD656" s="1" t="n"/>
      <c r="AE656" s="1" t="n"/>
      <c r="AF656" s="1" t="n"/>
      <c r="AG656" s="1" t="n"/>
      <c r="AH656" s="1" t="n"/>
    </row>
    <row r="657" ht="14.2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  <c r="AC657" s="1" t="n"/>
      <c r="AD657" s="1" t="n"/>
      <c r="AE657" s="1" t="n"/>
      <c r="AF657" s="1" t="n"/>
      <c r="AG657" s="1" t="n"/>
      <c r="AH657" s="1" t="n"/>
    </row>
    <row r="658" ht="14.2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  <c r="AC658" s="1" t="n"/>
      <c r="AD658" s="1" t="n"/>
      <c r="AE658" s="1" t="n"/>
      <c r="AF658" s="1" t="n"/>
      <c r="AG658" s="1" t="n"/>
      <c r="AH658" s="1" t="n"/>
    </row>
    <row r="659" ht="14.2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  <c r="AC659" s="1" t="n"/>
      <c r="AD659" s="1" t="n"/>
      <c r="AE659" s="1" t="n"/>
      <c r="AF659" s="1" t="n"/>
      <c r="AG659" s="1" t="n"/>
      <c r="AH659" s="1" t="n"/>
    </row>
    <row r="660" ht="14.2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  <c r="AC660" s="1" t="n"/>
      <c r="AD660" s="1" t="n"/>
      <c r="AE660" s="1" t="n"/>
      <c r="AF660" s="1" t="n"/>
      <c r="AG660" s="1" t="n"/>
      <c r="AH660" s="1" t="n"/>
    </row>
    <row r="661" ht="14.2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  <c r="AC661" s="1" t="n"/>
      <c r="AD661" s="1" t="n"/>
      <c r="AE661" s="1" t="n"/>
      <c r="AF661" s="1" t="n"/>
      <c r="AG661" s="1" t="n"/>
      <c r="AH661" s="1" t="n"/>
    </row>
    <row r="662" ht="14.2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  <c r="AC662" s="1" t="n"/>
      <c r="AD662" s="1" t="n"/>
      <c r="AE662" s="1" t="n"/>
      <c r="AF662" s="1" t="n"/>
      <c r="AG662" s="1" t="n"/>
      <c r="AH662" s="1" t="n"/>
    </row>
    <row r="663" ht="14.2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  <c r="AC663" s="1" t="n"/>
      <c r="AD663" s="1" t="n"/>
      <c r="AE663" s="1" t="n"/>
      <c r="AF663" s="1" t="n"/>
      <c r="AG663" s="1" t="n"/>
      <c r="AH663" s="1" t="n"/>
    </row>
    <row r="664" ht="14.2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  <c r="AC664" s="1" t="n"/>
      <c r="AD664" s="1" t="n"/>
      <c r="AE664" s="1" t="n"/>
      <c r="AF664" s="1" t="n"/>
      <c r="AG664" s="1" t="n"/>
      <c r="AH664" s="1" t="n"/>
    </row>
    <row r="665" ht="14.2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  <c r="AC665" s="1" t="n"/>
      <c r="AD665" s="1" t="n"/>
      <c r="AE665" s="1" t="n"/>
      <c r="AF665" s="1" t="n"/>
      <c r="AG665" s="1" t="n"/>
      <c r="AH665" s="1" t="n"/>
    </row>
    <row r="666" ht="14.2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  <c r="AC666" s="1" t="n"/>
      <c r="AD666" s="1" t="n"/>
      <c r="AE666" s="1" t="n"/>
      <c r="AF666" s="1" t="n"/>
      <c r="AG666" s="1" t="n"/>
      <c r="AH666" s="1" t="n"/>
    </row>
    <row r="667" ht="14.2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  <c r="AC667" s="1" t="n"/>
      <c r="AD667" s="1" t="n"/>
      <c r="AE667" s="1" t="n"/>
      <c r="AF667" s="1" t="n"/>
      <c r="AG667" s="1" t="n"/>
      <c r="AH667" s="1" t="n"/>
    </row>
    <row r="668" ht="14.2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  <c r="AC668" s="1" t="n"/>
      <c r="AD668" s="1" t="n"/>
      <c r="AE668" s="1" t="n"/>
      <c r="AF668" s="1" t="n"/>
      <c r="AG668" s="1" t="n"/>
      <c r="AH668" s="1" t="n"/>
    </row>
    <row r="669" ht="14.2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  <c r="AC669" s="1" t="n"/>
      <c r="AD669" s="1" t="n"/>
      <c r="AE669" s="1" t="n"/>
      <c r="AF669" s="1" t="n"/>
      <c r="AG669" s="1" t="n"/>
      <c r="AH669" s="1" t="n"/>
    </row>
    <row r="670" ht="14.2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  <c r="AC670" s="1" t="n"/>
      <c r="AD670" s="1" t="n"/>
      <c r="AE670" s="1" t="n"/>
      <c r="AF670" s="1" t="n"/>
      <c r="AG670" s="1" t="n"/>
      <c r="AH670" s="1" t="n"/>
    </row>
    <row r="671" ht="14.2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  <c r="AC671" s="1" t="n"/>
      <c r="AD671" s="1" t="n"/>
      <c r="AE671" s="1" t="n"/>
      <c r="AF671" s="1" t="n"/>
      <c r="AG671" s="1" t="n"/>
      <c r="AH671" s="1" t="n"/>
    </row>
    <row r="672" ht="14.2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  <c r="AC672" s="1" t="n"/>
      <c r="AD672" s="1" t="n"/>
      <c r="AE672" s="1" t="n"/>
      <c r="AF672" s="1" t="n"/>
      <c r="AG672" s="1" t="n"/>
      <c r="AH672" s="1" t="n"/>
    </row>
    <row r="673" ht="14.2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  <c r="AC673" s="1" t="n"/>
      <c r="AD673" s="1" t="n"/>
      <c r="AE673" s="1" t="n"/>
      <c r="AF673" s="1" t="n"/>
      <c r="AG673" s="1" t="n"/>
      <c r="AH673" s="1" t="n"/>
    </row>
    <row r="674" ht="14.2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  <c r="AC674" s="1" t="n"/>
      <c r="AD674" s="1" t="n"/>
      <c r="AE674" s="1" t="n"/>
      <c r="AF674" s="1" t="n"/>
      <c r="AG674" s="1" t="n"/>
      <c r="AH674" s="1" t="n"/>
    </row>
    <row r="675" ht="14.2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  <c r="AC675" s="1" t="n"/>
      <c r="AD675" s="1" t="n"/>
      <c r="AE675" s="1" t="n"/>
      <c r="AF675" s="1" t="n"/>
      <c r="AG675" s="1" t="n"/>
      <c r="AH675" s="1" t="n"/>
    </row>
    <row r="676" ht="14.2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  <c r="AC676" s="1" t="n"/>
      <c r="AD676" s="1" t="n"/>
      <c r="AE676" s="1" t="n"/>
      <c r="AF676" s="1" t="n"/>
      <c r="AG676" s="1" t="n"/>
      <c r="AH676" s="1" t="n"/>
    </row>
    <row r="677" ht="14.2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  <c r="AC677" s="1" t="n"/>
      <c r="AD677" s="1" t="n"/>
      <c r="AE677" s="1" t="n"/>
      <c r="AF677" s="1" t="n"/>
      <c r="AG677" s="1" t="n"/>
      <c r="AH677" s="1" t="n"/>
    </row>
    <row r="678" ht="14.2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  <c r="AC678" s="1" t="n"/>
      <c r="AD678" s="1" t="n"/>
      <c r="AE678" s="1" t="n"/>
      <c r="AF678" s="1" t="n"/>
      <c r="AG678" s="1" t="n"/>
      <c r="AH678" s="1" t="n"/>
    </row>
    <row r="679" ht="14.2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  <c r="AC679" s="1" t="n"/>
      <c r="AD679" s="1" t="n"/>
      <c r="AE679" s="1" t="n"/>
      <c r="AF679" s="1" t="n"/>
      <c r="AG679" s="1" t="n"/>
      <c r="AH679" s="1" t="n"/>
    </row>
    <row r="680" ht="14.2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  <c r="AC680" s="1" t="n"/>
      <c r="AD680" s="1" t="n"/>
      <c r="AE680" s="1" t="n"/>
      <c r="AF680" s="1" t="n"/>
      <c r="AG680" s="1" t="n"/>
      <c r="AH680" s="1" t="n"/>
    </row>
    <row r="681" ht="14.2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  <c r="AC681" s="1" t="n"/>
      <c r="AD681" s="1" t="n"/>
      <c r="AE681" s="1" t="n"/>
      <c r="AF681" s="1" t="n"/>
      <c r="AG681" s="1" t="n"/>
      <c r="AH681" s="1" t="n"/>
    </row>
    <row r="682" ht="14.2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  <c r="AC682" s="1" t="n"/>
      <c r="AD682" s="1" t="n"/>
      <c r="AE682" s="1" t="n"/>
      <c r="AF682" s="1" t="n"/>
      <c r="AG682" s="1" t="n"/>
      <c r="AH682" s="1" t="n"/>
    </row>
    <row r="683" ht="14.2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  <c r="AC683" s="1" t="n"/>
      <c r="AD683" s="1" t="n"/>
      <c r="AE683" s="1" t="n"/>
      <c r="AF683" s="1" t="n"/>
      <c r="AG683" s="1" t="n"/>
      <c r="AH683" s="1" t="n"/>
    </row>
    <row r="684" ht="14.2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  <c r="AC684" s="1" t="n"/>
      <c r="AD684" s="1" t="n"/>
      <c r="AE684" s="1" t="n"/>
      <c r="AF684" s="1" t="n"/>
      <c r="AG684" s="1" t="n"/>
      <c r="AH684" s="1" t="n"/>
    </row>
    <row r="685" ht="14.2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  <c r="AC685" s="1" t="n"/>
      <c r="AD685" s="1" t="n"/>
      <c r="AE685" s="1" t="n"/>
      <c r="AF685" s="1" t="n"/>
      <c r="AG685" s="1" t="n"/>
      <c r="AH685" s="1" t="n"/>
    </row>
    <row r="686" ht="14.2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  <c r="AC686" s="1" t="n"/>
      <c r="AD686" s="1" t="n"/>
      <c r="AE686" s="1" t="n"/>
      <c r="AF686" s="1" t="n"/>
      <c r="AG686" s="1" t="n"/>
      <c r="AH686" s="1" t="n"/>
    </row>
    <row r="687" ht="14.2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  <c r="AC687" s="1" t="n"/>
      <c r="AD687" s="1" t="n"/>
      <c r="AE687" s="1" t="n"/>
      <c r="AF687" s="1" t="n"/>
      <c r="AG687" s="1" t="n"/>
      <c r="AH687" s="1" t="n"/>
    </row>
    <row r="688" ht="14.2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  <c r="AC688" s="1" t="n"/>
      <c r="AD688" s="1" t="n"/>
      <c r="AE688" s="1" t="n"/>
      <c r="AF688" s="1" t="n"/>
      <c r="AG688" s="1" t="n"/>
      <c r="AH688" s="1" t="n"/>
    </row>
    <row r="689" ht="14.2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  <c r="AC689" s="1" t="n"/>
      <c r="AD689" s="1" t="n"/>
      <c r="AE689" s="1" t="n"/>
      <c r="AF689" s="1" t="n"/>
      <c r="AG689" s="1" t="n"/>
      <c r="AH689" s="1" t="n"/>
    </row>
    <row r="690" ht="14.2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  <c r="AC690" s="1" t="n"/>
      <c r="AD690" s="1" t="n"/>
      <c r="AE690" s="1" t="n"/>
      <c r="AF690" s="1" t="n"/>
      <c r="AG690" s="1" t="n"/>
      <c r="AH690" s="1" t="n"/>
    </row>
    <row r="691" ht="14.2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  <c r="AC691" s="1" t="n"/>
      <c r="AD691" s="1" t="n"/>
      <c r="AE691" s="1" t="n"/>
      <c r="AF691" s="1" t="n"/>
      <c r="AG691" s="1" t="n"/>
      <c r="AH691" s="1" t="n"/>
    </row>
    <row r="692" ht="14.2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  <c r="AC692" s="1" t="n"/>
      <c r="AD692" s="1" t="n"/>
      <c r="AE692" s="1" t="n"/>
      <c r="AF692" s="1" t="n"/>
      <c r="AG692" s="1" t="n"/>
      <c r="AH692" s="1" t="n"/>
    </row>
    <row r="693" ht="14.2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  <c r="AC693" s="1" t="n"/>
      <c r="AD693" s="1" t="n"/>
      <c r="AE693" s="1" t="n"/>
      <c r="AF693" s="1" t="n"/>
      <c r="AG693" s="1" t="n"/>
      <c r="AH693" s="1" t="n"/>
    </row>
    <row r="694" ht="14.2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  <c r="AC694" s="1" t="n"/>
      <c r="AD694" s="1" t="n"/>
      <c r="AE694" s="1" t="n"/>
      <c r="AF694" s="1" t="n"/>
      <c r="AG694" s="1" t="n"/>
      <c r="AH694" s="1" t="n"/>
    </row>
    <row r="695" ht="14.2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  <c r="AC695" s="1" t="n"/>
      <c r="AD695" s="1" t="n"/>
      <c r="AE695" s="1" t="n"/>
      <c r="AF695" s="1" t="n"/>
      <c r="AG695" s="1" t="n"/>
      <c r="AH695" s="1" t="n"/>
    </row>
    <row r="696" ht="14.2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  <c r="AC696" s="1" t="n"/>
      <c r="AD696" s="1" t="n"/>
      <c r="AE696" s="1" t="n"/>
      <c r="AF696" s="1" t="n"/>
      <c r="AG696" s="1" t="n"/>
      <c r="AH696" s="1" t="n"/>
    </row>
    <row r="697" ht="14.2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  <c r="AC697" s="1" t="n"/>
      <c r="AD697" s="1" t="n"/>
      <c r="AE697" s="1" t="n"/>
      <c r="AF697" s="1" t="n"/>
      <c r="AG697" s="1" t="n"/>
      <c r="AH697" s="1" t="n"/>
    </row>
    <row r="698" ht="14.2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  <c r="AC698" s="1" t="n"/>
      <c r="AD698" s="1" t="n"/>
      <c r="AE698" s="1" t="n"/>
      <c r="AF698" s="1" t="n"/>
      <c r="AG698" s="1" t="n"/>
      <c r="AH698" s="1" t="n"/>
    </row>
    <row r="699" ht="14.2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  <c r="AC699" s="1" t="n"/>
      <c r="AD699" s="1" t="n"/>
      <c r="AE699" s="1" t="n"/>
      <c r="AF699" s="1" t="n"/>
      <c r="AG699" s="1" t="n"/>
      <c r="AH699" s="1" t="n"/>
    </row>
    <row r="700" ht="14.2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  <c r="AC700" s="1" t="n"/>
      <c r="AD700" s="1" t="n"/>
      <c r="AE700" s="1" t="n"/>
      <c r="AF700" s="1" t="n"/>
      <c r="AG700" s="1" t="n"/>
      <c r="AH700" s="1" t="n"/>
    </row>
    <row r="701" ht="14.2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  <c r="AC701" s="1" t="n"/>
      <c r="AD701" s="1" t="n"/>
      <c r="AE701" s="1" t="n"/>
      <c r="AF701" s="1" t="n"/>
      <c r="AG701" s="1" t="n"/>
      <c r="AH701" s="1" t="n"/>
    </row>
    <row r="702" ht="14.2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  <c r="AC702" s="1" t="n"/>
      <c r="AD702" s="1" t="n"/>
      <c r="AE702" s="1" t="n"/>
      <c r="AF702" s="1" t="n"/>
      <c r="AG702" s="1" t="n"/>
      <c r="AH702" s="1" t="n"/>
    </row>
    <row r="703" ht="14.2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  <c r="AC703" s="1" t="n"/>
      <c r="AD703" s="1" t="n"/>
      <c r="AE703" s="1" t="n"/>
      <c r="AF703" s="1" t="n"/>
      <c r="AG703" s="1" t="n"/>
      <c r="AH703" s="1" t="n"/>
    </row>
    <row r="704" ht="14.2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  <c r="AC704" s="1" t="n"/>
      <c r="AD704" s="1" t="n"/>
      <c r="AE704" s="1" t="n"/>
      <c r="AF704" s="1" t="n"/>
      <c r="AG704" s="1" t="n"/>
      <c r="AH704" s="1" t="n"/>
    </row>
    <row r="705" ht="14.2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  <c r="AC705" s="1" t="n"/>
      <c r="AD705" s="1" t="n"/>
      <c r="AE705" s="1" t="n"/>
      <c r="AF705" s="1" t="n"/>
      <c r="AG705" s="1" t="n"/>
      <c r="AH705" s="1" t="n"/>
    </row>
    <row r="706" ht="14.2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  <c r="AC706" s="1" t="n"/>
      <c r="AD706" s="1" t="n"/>
      <c r="AE706" s="1" t="n"/>
      <c r="AF706" s="1" t="n"/>
      <c r="AG706" s="1" t="n"/>
      <c r="AH706" s="1" t="n"/>
    </row>
    <row r="707" ht="14.2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  <c r="AC707" s="1" t="n"/>
      <c r="AD707" s="1" t="n"/>
      <c r="AE707" s="1" t="n"/>
      <c r="AF707" s="1" t="n"/>
      <c r="AG707" s="1" t="n"/>
      <c r="AH707" s="1" t="n"/>
    </row>
    <row r="708" ht="14.2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  <c r="AC708" s="1" t="n"/>
      <c r="AD708" s="1" t="n"/>
      <c r="AE708" s="1" t="n"/>
      <c r="AF708" s="1" t="n"/>
      <c r="AG708" s="1" t="n"/>
      <c r="AH708" s="1" t="n"/>
    </row>
    <row r="709" ht="14.2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  <c r="AC709" s="1" t="n"/>
      <c r="AD709" s="1" t="n"/>
      <c r="AE709" s="1" t="n"/>
      <c r="AF709" s="1" t="n"/>
      <c r="AG709" s="1" t="n"/>
      <c r="AH709" s="1" t="n"/>
    </row>
    <row r="710" ht="14.2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  <c r="AC710" s="1" t="n"/>
      <c r="AD710" s="1" t="n"/>
      <c r="AE710" s="1" t="n"/>
      <c r="AF710" s="1" t="n"/>
      <c r="AG710" s="1" t="n"/>
      <c r="AH710" s="1" t="n"/>
    </row>
    <row r="711" ht="14.2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  <c r="AC711" s="1" t="n"/>
      <c r="AD711" s="1" t="n"/>
      <c r="AE711" s="1" t="n"/>
      <c r="AF711" s="1" t="n"/>
      <c r="AG711" s="1" t="n"/>
      <c r="AH711" s="1" t="n"/>
    </row>
    <row r="712" ht="14.2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  <c r="AC712" s="1" t="n"/>
      <c r="AD712" s="1" t="n"/>
      <c r="AE712" s="1" t="n"/>
      <c r="AF712" s="1" t="n"/>
      <c r="AG712" s="1" t="n"/>
      <c r="AH712" s="1" t="n"/>
    </row>
    <row r="713" ht="14.2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  <c r="AC713" s="1" t="n"/>
      <c r="AD713" s="1" t="n"/>
      <c r="AE713" s="1" t="n"/>
      <c r="AF713" s="1" t="n"/>
      <c r="AG713" s="1" t="n"/>
      <c r="AH713" s="1" t="n"/>
    </row>
    <row r="714" ht="14.2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  <c r="AC714" s="1" t="n"/>
      <c r="AD714" s="1" t="n"/>
      <c r="AE714" s="1" t="n"/>
      <c r="AF714" s="1" t="n"/>
      <c r="AG714" s="1" t="n"/>
      <c r="AH714" s="1" t="n"/>
    </row>
    <row r="715" ht="14.2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  <c r="AC715" s="1" t="n"/>
      <c r="AD715" s="1" t="n"/>
      <c r="AE715" s="1" t="n"/>
      <c r="AF715" s="1" t="n"/>
      <c r="AG715" s="1" t="n"/>
      <c r="AH715" s="1" t="n"/>
    </row>
    <row r="716" ht="14.2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  <c r="AC716" s="1" t="n"/>
      <c r="AD716" s="1" t="n"/>
      <c r="AE716" s="1" t="n"/>
      <c r="AF716" s="1" t="n"/>
      <c r="AG716" s="1" t="n"/>
      <c r="AH716" s="1" t="n"/>
    </row>
    <row r="717" ht="14.2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  <c r="AC717" s="1" t="n"/>
      <c r="AD717" s="1" t="n"/>
      <c r="AE717" s="1" t="n"/>
      <c r="AF717" s="1" t="n"/>
      <c r="AG717" s="1" t="n"/>
      <c r="AH717" s="1" t="n"/>
    </row>
    <row r="718" ht="14.2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  <c r="AC718" s="1" t="n"/>
      <c r="AD718" s="1" t="n"/>
      <c r="AE718" s="1" t="n"/>
      <c r="AF718" s="1" t="n"/>
      <c r="AG718" s="1" t="n"/>
      <c r="AH718" s="1" t="n"/>
    </row>
    <row r="719" ht="14.2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  <c r="AC719" s="1" t="n"/>
      <c r="AD719" s="1" t="n"/>
      <c r="AE719" s="1" t="n"/>
      <c r="AF719" s="1" t="n"/>
      <c r="AG719" s="1" t="n"/>
      <c r="AH719" s="1" t="n"/>
    </row>
    <row r="720" ht="14.2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  <c r="AC720" s="1" t="n"/>
      <c r="AD720" s="1" t="n"/>
      <c r="AE720" s="1" t="n"/>
      <c r="AF720" s="1" t="n"/>
      <c r="AG720" s="1" t="n"/>
      <c r="AH720" s="1" t="n"/>
    </row>
    <row r="721" ht="14.2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  <c r="AC721" s="1" t="n"/>
      <c r="AD721" s="1" t="n"/>
      <c r="AE721" s="1" t="n"/>
      <c r="AF721" s="1" t="n"/>
      <c r="AG721" s="1" t="n"/>
      <c r="AH721" s="1" t="n"/>
    </row>
    <row r="722" ht="14.2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  <c r="AC722" s="1" t="n"/>
      <c r="AD722" s="1" t="n"/>
      <c r="AE722" s="1" t="n"/>
      <c r="AF722" s="1" t="n"/>
      <c r="AG722" s="1" t="n"/>
      <c r="AH722" s="1" t="n"/>
    </row>
    <row r="723" ht="14.2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  <c r="AC723" s="1" t="n"/>
      <c r="AD723" s="1" t="n"/>
      <c r="AE723" s="1" t="n"/>
      <c r="AF723" s="1" t="n"/>
      <c r="AG723" s="1" t="n"/>
      <c r="AH723" s="1" t="n"/>
    </row>
    <row r="724" ht="14.2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  <c r="AC724" s="1" t="n"/>
      <c r="AD724" s="1" t="n"/>
      <c r="AE724" s="1" t="n"/>
      <c r="AF724" s="1" t="n"/>
      <c r="AG724" s="1" t="n"/>
      <c r="AH724" s="1" t="n"/>
    </row>
    <row r="725" ht="14.2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  <c r="AC725" s="1" t="n"/>
      <c r="AD725" s="1" t="n"/>
      <c r="AE725" s="1" t="n"/>
      <c r="AF725" s="1" t="n"/>
      <c r="AG725" s="1" t="n"/>
      <c r="AH725" s="1" t="n"/>
    </row>
    <row r="726" ht="14.2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  <c r="AC726" s="1" t="n"/>
      <c r="AD726" s="1" t="n"/>
      <c r="AE726" s="1" t="n"/>
      <c r="AF726" s="1" t="n"/>
      <c r="AG726" s="1" t="n"/>
      <c r="AH726" s="1" t="n"/>
    </row>
    <row r="727" ht="14.2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  <c r="AC727" s="1" t="n"/>
      <c r="AD727" s="1" t="n"/>
      <c r="AE727" s="1" t="n"/>
      <c r="AF727" s="1" t="n"/>
      <c r="AG727" s="1" t="n"/>
      <c r="AH727" s="1" t="n"/>
    </row>
    <row r="728" ht="14.2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  <c r="AC728" s="1" t="n"/>
      <c r="AD728" s="1" t="n"/>
      <c r="AE728" s="1" t="n"/>
      <c r="AF728" s="1" t="n"/>
      <c r="AG728" s="1" t="n"/>
      <c r="AH728" s="1" t="n"/>
    </row>
    <row r="729" ht="14.2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  <c r="AC729" s="1" t="n"/>
      <c r="AD729" s="1" t="n"/>
      <c r="AE729" s="1" t="n"/>
      <c r="AF729" s="1" t="n"/>
      <c r="AG729" s="1" t="n"/>
      <c r="AH729" s="1" t="n"/>
    </row>
    <row r="730" ht="14.2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  <c r="AC730" s="1" t="n"/>
      <c r="AD730" s="1" t="n"/>
      <c r="AE730" s="1" t="n"/>
      <c r="AF730" s="1" t="n"/>
      <c r="AG730" s="1" t="n"/>
      <c r="AH730" s="1" t="n"/>
    </row>
    <row r="731" ht="14.2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  <c r="AC731" s="1" t="n"/>
      <c r="AD731" s="1" t="n"/>
      <c r="AE731" s="1" t="n"/>
      <c r="AF731" s="1" t="n"/>
      <c r="AG731" s="1" t="n"/>
      <c r="AH731" s="1" t="n"/>
    </row>
    <row r="732" ht="14.2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  <c r="AC732" s="1" t="n"/>
      <c r="AD732" s="1" t="n"/>
      <c r="AE732" s="1" t="n"/>
      <c r="AF732" s="1" t="n"/>
      <c r="AG732" s="1" t="n"/>
      <c r="AH732" s="1" t="n"/>
    </row>
    <row r="733" ht="14.2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  <c r="AC733" s="1" t="n"/>
      <c r="AD733" s="1" t="n"/>
      <c r="AE733" s="1" t="n"/>
      <c r="AF733" s="1" t="n"/>
      <c r="AG733" s="1" t="n"/>
      <c r="AH733" s="1" t="n"/>
    </row>
    <row r="734" ht="14.2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  <c r="AC734" s="1" t="n"/>
      <c r="AD734" s="1" t="n"/>
      <c r="AE734" s="1" t="n"/>
      <c r="AF734" s="1" t="n"/>
      <c r="AG734" s="1" t="n"/>
      <c r="AH734" s="1" t="n"/>
    </row>
    <row r="735" ht="14.2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  <c r="AC735" s="1" t="n"/>
      <c r="AD735" s="1" t="n"/>
      <c r="AE735" s="1" t="n"/>
      <c r="AF735" s="1" t="n"/>
      <c r="AG735" s="1" t="n"/>
      <c r="AH735" s="1" t="n"/>
    </row>
    <row r="736" ht="14.2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  <c r="AC736" s="1" t="n"/>
      <c r="AD736" s="1" t="n"/>
      <c r="AE736" s="1" t="n"/>
      <c r="AF736" s="1" t="n"/>
      <c r="AG736" s="1" t="n"/>
      <c r="AH736" s="1" t="n"/>
    </row>
    <row r="737" ht="14.2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  <c r="AC737" s="1" t="n"/>
      <c r="AD737" s="1" t="n"/>
      <c r="AE737" s="1" t="n"/>
      <c r="AF737" s="1" t="n"/>
      <c r="AG737" s="1" t="n"/>
      <c r="AH737" s="1" t="n"/>
    </row>
    <row r="738" ht="14.2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  <c r="AC738" s="1" t="n"/>
      <c r="AD738" s="1" t="n"/>
      <c r="AE738" s="1" t="n"/>
      <c r="AF738" s="1" t="n"/>
      <c r="AG738" s="1" t="n"/>
      <c r="AH738" s="1" t="n"/>
    </row>
    <row r="739" ht="14.2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  <c r="AC739" s="1" t="n"/>
      <c r="AD739" s="1" t="n"/>
      <c r="AE739" s="1" t="n"/>
      <c r="AF739" s="1" t="n"/>
      <c r="AG739" s="1" t="n"/>
      <c r="AH739" s="1" t="n"/>
    </row>
    <row r="740" ht="14.2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  <c r="AC740" s="1" t="n"/>
      <c r="AD740" s="1" t="n"/>
      <c r="AE740" s="1" t="n"/>
      <c r="AF740" s="1" t="n"/>
      <c r="AG740" s="1" t="n"/>
      <c r="AH740" s="1" t="n"/>
    </row>
    <row r="741" ht="14.2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  <c r="AC741" s="1" t="n"/>
      <c r="AD741" s="1" t="n"/>
      <c r="AE741" s="1" t="n"/>
      <c r="AF741" s="1" t="n"/>
      <c r="AG741" s="1" t="n"/>
      <c r="AH741" s="1" t="n"/>
    </row>
    <row r="742" ht="14.2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  <c r="AC742" s="1" t="n"/>
      <c r="AD742" s="1" t="n"/>
      <c r="AE742" s="1" t="n"/>
      <c r="AF742" s="1" t="n"/>
      <c r="AG742" s="1" t="n"/>
      <c r="AH742" s="1" t="n"/>
    </row>
    <row r="743" ht="14.2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  <c r="AC743" s="1" t="n"/>
      <c r="AD743" s="1" t="n"/>
      <c r="AE743" s="1" t="n"/>
      <c r="AF743" s="1" t="n"/>
      <c r="AG743" s="1" t="n"/>
      <c r="AH743" s="1" t="n"/>
    </row>
    <row r="744" ht="14.2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  <c r="AC744" s="1" t="n"/>
      <c r="AD744" s="1" t="n"/>
      <c r="AE744" s="1" t="n"/>
      <c r="AF744" s="1" t="n"/>
      <c r="AG744" s="1" t="n"/>
      <c r="AH744" s="1" t="n"/>
    </row>
    <row r="745" ht="14.2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  <c r="AC745" s="1" t="n"/>
      <c r="AD745" s="1" t="n"/>
      <c r="AE745" s="1" t="n"/>
      <c r="AF745" s="1" t="n"/>
      <c r="AG745" s="1" t="n"/>
      <c r="AH745" s="1" t="n"/>
    </row>
    <row r="746" ht="14.2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  <c r="AC746" s="1" t="n"/>
      <c r="AD746" s="1" t="n"/>
      <c r="AE746" s="1" t="n"/>
      <c r="AF746" s="1" t="n"/>
      <c r="AG746" s="1" t="n"/>
      <c r="AH746" s="1" t="n"/>
    </row>
    <row r="747" ht="14.2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  <c r="AC747" s="1" t="n"/>
      <c r="AD747" s="1" t="n"/>
      <c r="AE747" s="1" t="n"/>
      <c r="AF747" s="1" t="n"/>
      <c r="AG747" s="1" t="n"/>
      <c r="AH747" s="1" t="n"/>
    </row>
    <row r="748" ht="14.2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  <c r="AC748" s="1" t="n"/>
      <c r="AD748" s="1" t="n"/>
      <c r="AE748" s="1" t="n"/>
      <c r="AF748" s="1" t="n"/>
      <c r="AG748" s="1" t="n"/>
      <c r="AH748" s="1" t="n"/>
    </row>
    <row r="749" ht="14.2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  <c r="AC749" s="1" t="n"/>
      <c r="AD749" s="1" t="n"/>
      <c r="AE749" s="1" t="n"/>
      <c r="AF749" s="1" t="n"/>
      <c r="AG749" s="1" t="n"/>
      <c r="AH749" s="1" t="n"/>
    </row>
    <row r="750" ht="14.2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  <c r="AC750" s="1" t="n"/>
      <c r="AD750" s="1" t="n"/>
      <c r="AE750" s="1" t="n"/>
      <c r="AF750" s="1" t="n"/>
      <c r="AG750" s="1" t="n"/>
      <c r="AH750" s="1" t="n"/>
    </row>
    <row r="751" ht="14.2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  <c r="AC751" s="1" t="n"/>
      <c r="AD751" s="1" t="n"/>
      <c r="AE751" s="1" t="n"/>
      <c r="AF751" s="1" t="n"/>
      <c r="AG751" s="1" t="n"/>
      <c r="AH751" s="1" t="n"/>
    </row>
    <row r="752" ht="14.2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  <c r="AC752" s="1" t="n"/>
      <c r="AD752" s="1" t="n"/>
      <c r="AE752" s="1" t="n"/>
      <c r="AF752" s="1" t="n"/>
      <c r="AG752" s="1" t="n"/>
      <c r="AH752" s="1" t="n"/>
    </row>
    <row r="753" ht="14.2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  <c r="AC753" s="1" t="n"/>
      <c r="AD753" s="1" t="n"/>
      <c r="AE753" s="1" t="n"/>
      <c r="AF753" s="1" t="n"/>
      <c r="AG753" s="1" t="n"/>
      <c r="AH753" s="1" t="n"/>
    </row>
    <row r="754" ht="14.2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  <c r="AC754" s="1" t="n"/>
      <c r="AD754" s="1" t="n"/>
      <c r="AE754" s="1" t="n"/>
      <c r="AF754" s="1" t="n"/>
      <c r="AG754" s="1" t="n"/>
      <c r="AH754" s="1" t="n"/>
    </row>
    <row r="755" ht="14.2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  <c r="AC755" s="1" t="n"/>
      <c r="AD755" s="1" t="n"/>
      <c r="AE755" s="1" t="n"/>
      <c r="AF755" s="1" t="n"/>
      <c r="AG755" s="1" t="n"/>
      <c r="AH755" s="1" t="n"/>
    </row>
    <row r="756" ht="14.2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  <c r="AC756" s="1" t="n"/>
      <c r="AD756" s="1" t="n"/>
      <c r="AE756" s="1" t="n"/>
      <c r="AF756" s="1" t="n"/>
      <c r="AG756" s="1" t="n"/>
      <c r="AH756" s="1" t="n"/>
    </row>
    <row r="757" ht="14.2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  <c r="AC757" s="1" t="n"/>
      <c r="AD757" s="1" t="n"/>
      <c r="AE757" s="1" t="n"/>
      <c r="AF757" s="1" t="n"/>
      <c r="AG757" s="1" t="n"/>
      <c r="AH757" s="1" t="n"/>
    </row>
    <row r="758" ht="14.2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  <c r="AC758" s="1" t="n"/>
      <c r="AD758" s="1" t="n"/>
      <c r="AE758" s="1" t="n"/>
      <c r="AF758" s="1" t="n"/>
      <c r="AG758" s="1" t="n"/>
      <c r="AH758" s="1" t="n"/>
    </row>
    <row r="759" ht="14.2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  <c r="AC759" s="1" t="n"/>
      <c r="AD759" s="1" t="n"/>
      <c r="AE759" s="1" t="n"/>
      <c r="AF759" s="1" t="n"/>
      <c r="AG759" s="1" t="n"/>
      <c r="AH759" s="1" t="n"/>
    </row>
    <row r="760" ht="14.2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  <c r="AC760" s="1" t="n"/>
      <c r="AD760" s="1" t="n"/>
      <c r="AE760" s="1" t="n"/>
      <c r="AF760" s="1" t="n"/>
      <c r="AG760" s="1" t="n"/>
      <c r="AH760" s="1" t="n"/>
    </row>
    <row r="761" ht="14.2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  <c r="AC761" s="1" t="n"/>
      <c r="AD761" s="1" t="n"/>
      <c r="AE761" s="1" t="n"/>
      <c r="AF761" s="1" t="n"/>
      <c r="AG761" s="1" t="n"/>
      <c r="AH761" s="1" t="n"/>
    </row>
    <row r="762" ht="14.2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  <c r="AC762" s="1" t="n"/>
      <c r="AD762" s="1" t="n"/>
      <c r="AE762" s="1" t="n"/>
      <c r="AF762" s="1" t="n"/>
      <c r="AG762" s="1" t="n"/>
      <c r="AH762" s="1" t="n"/>
    </row>
    <row r="763" ht="14.2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  <c r="AC763" s="1" t="n"/>
      <c r="AD763" s="1" t="n"/>
      <c r="AE763" s="1" t="n"/>
      <c r="AF763" s="1" t="n"/>
      <c r="AG763" s="1" t="n"/>
      <c r="AH763" s="1" t="n"/>
    </row>
    <row r="764" ht="14.2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  <c r="AC764" s="1" t="n"/>
      <c r="AD764" s="1" t="n"/>
      <c r="AE764" s="1" t="n"/>
      <c r="AF764" s="1" t="n"/>
      <c r="AG764" s="1" t="n"/>
      <c r="AH764" s="1" t="n"/>
    </row>
    <row r="765" ht="14.2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  <c r="AC765" s="1" t="n"/>
      <c r="AD765" s="1" t="n"/>
      <c r="AE765" s="1" t="n"/>
      <c r="AF765" s="1" t="n"/>
      <c r="AG765" s="1" t="n"/>
      <c r="AH765" s="1" t="n"/>
    </row>
    <row r="766" ht="14.2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  <c r="AC766" s="1" t="n"/>
      <c r="AD766" s="1" t="n"/>
      <c r="AE766" s="1" t="n"/>
      <c r="AF766" s="1" t="n"/>
      <c r="AG766" s="1" t="n"/>
      <c r="AH766" s="1" t="n"/>
    </row>
    <row r="767" ht="14.2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  <c r="AC767" s="1" t="n"/>
      <c r="AD767" s="1" t="n"/>
      <c r="AE767" s="1" t="n"/>
      <c r="AF767" s="1" t="n"/>
      <c r="AG767" s="1" t="n"/>
      <c r="AH767" s="1" t="n"/>
    </row>
    <row r="768" ht="14.2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  <c r="AC768" s="1" t="n"/>
      <c r="AD768" s="1" t="n"/>
      <c r="AE768" s="1" t="n"/>
      <c r="AF768" s="1" t="n"/>
      <c r="AG768" s="1" t="n"/>
      <c r="AH768" s="1" t="n"/>
    </row>
    <row r="769" ht="14.2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  <c r="AC769" s="1" t="n"/>
      <c r="AD769" s="1" t="n"/>
      <c r="AE769" s="1" t="n"/>
      <c r="AF769" s="1" t="n"/>
      <c r="AG769" s="1" t="n"/>
      <c r="AH769" s="1" t="n"/>
    </row>
    <row r="770" ht="14.2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  <c r="AC770" s="1" t="n"/>
      <c r="AD770" s="1" t="n"/>
      <c r="AE770" s="1" t="n"/>
      <c r="AF770" s="1" t="n"/>
      <c r="AG770" s="1" t="n"/>
      <c r="AH770" s="1" t="n"/>
    </row>
    <row r="771" ht="14.2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  <c r="AC771" s="1" t="n"/>
      <c r="AD771" s="1" t="n"/>
      <c r="AE771" s="1" t="n"/>
      <c r="AF771" s="1" t="n"/>
      <c r="AG771" s="1" t="n"/>
      <c r="AH771" s="1" t="n"/>
    </row>
    <row r="772" ht="14.2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  <c r="AC772" s="1" t="n"/>
      <c r="AD772" s="1" t="n"/>
      <c r="AE772" s="1" t="n"/>
      <c r="AF772" s="1" t="n"/>
      <c r="AG772" s="1" t="n"/>
      <c r="AH772" s="1" t="n"/>
    </row>
    <row r="773" ht="14.2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  <c r="AC773" s="1" t="n"/>
      <c r="AD773" s="1" t="n"/>
      <c r="AE773" s="1" t="n"/>
      <c r="AF773" s="1" t="n"/>
      <c r="AG773" s="1" t="n"/>
      <c r="AH773" s="1" t="n"/>
    </row>
    <row r="774" ht="14.2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  <c r="AC774" s="1" t="n"/>
      <c r="AD774" s="1" t="n"/>
      <c r="AE774" s="1" t="n"/>
      <c r="AF774" s="1" t="n"/>
      <c r="AG774" s="1" t="n"/>
      <c r="AH774" s="1" t="n"/>
    </row>
    <row r="775" ht="14.2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  <c r="AC775" s="1" t="n"/>
      <c r="AD775" s="1" t="n"/>
      <c r="AE775" s="1" t="n"/>
      <c r="AF775" s="1" t="n"/>
      <c r="AG775" s="1" t="n"/>
      <c r="AH775" s="1" t="n"/>
    </row>
    <row r="776" ht="14.2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  <c r="AC776" s="1" t="n"/>
      <c r="AD776" s="1" t="n"/>
      <c r="AE776" s="1" t="n"/>
      <c r="AF776" s="1" t="n"/>
      <c r="AG776" s="1" t="n"/>
      <c r="AH776" s="1" t="n"/>
    </row>
    <row r="777" ht="14.2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  <c r="AC777" s="1" t="n"/>
      <c r="AD777" s="1" t="n"/>
      <c r="AE777" s="1" t="n"/>
      <c r="AF777" s="1" t="n"/>
      <c r="AG777" s="1" t="n"/>
      <c r="AH777" s="1" t="n"/>
    </row>
    <row r="778" ht="14.2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  <c r="AC778" s="1" t="n"/>
      <c r="AD778" s="1" t="n"/>
      <c r="AE778" s="1" t="n"/>
      <c r="AF778" s="1" t="n"/>
      <c r="AG778" s="1" t="n"/>
      <c r="AH778" s="1" t="n"/>
    </row>
    <row r="779" ht="14.2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  <c r="AC779" s="1" t="n"/>
      <c r="AD779" s="1" t="n"/>
      <c r="AE779" s="1" t="n"/>
      <c r="AF779" s="1" t="n"/>
      <c r="AG779" s="1" t="n"/>
      <c r="AH779" s="1" t="n"/>
    </row>
    <row r="780" ht="14.2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  <c r="AC780" s="1" t="n"/>
      <c r="AD780" s="1" t="n"/>
      <c r="AE780" s="1" t="n"/>
      <c r="AF780" s="1" t="n"/>
      <c r="AG780" s="1" t="n"/>
      <c r="AH780" s="1" t="n"/>
    </row>
    <row r="781" ht="14.2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  <c r="AC781" s="1" t="n"/>
      <c r="AD781" s="1" t="n"/>
      <c r="AE781" s="1" t="n"/>
      <c r="AF781" s="1" t="n"/>
      <c r="AG781" s="1" t="n"/>
      <c r="AH781" s="1" t="n"/>
    </row>
    <row r="782" ht="14.2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  <c r="AC782" s="1" t="n"/>
      <c r="AD782" s="1" t="n"/>
      <c r="AE782" s="1" t="n"/>
      <c r="AF782" s="1" t="n"/>
      <c r="AG782" s="1" t="n"/>
      <c r="AH782" s="1" t="n"/>
    </row>
    <row r="783" ht="14.2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  <c r="AC783" s="1" t="n"/>
      <c r="AD783" s="1" t="n"/>
      <c r="AE783" s="1" t="n"/>
      <c r="AF783" s="1" t="n"/>
      <c r="AG783" s="1" t="n"/>
      <c r="AH783" s="1" t="n"/>
    </row>
    <row r="784" ht="14.2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  <c r="AC784" s="1" t="n"/>
      <c r="AD784" s="1" t="n"/>
      <c r="AE784" s="1" t="n"/>
      <c r="AF784" s="1" t="n"/>
      <c r="AG784" s="1" t="n"/>
      <c r="AH784" s="1" t="n"/>
    </row>
    <row r="785" ht="14.2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  <c r="AC785" s="1" t="n"/>
      <c r="AD785" s="1" t="n"/>
      <c r="AE785" s="1" t="n"/>
      <c r="AF785" s="1" t="n"/>
      <c r="AG785" s="1" t="n"/>
      <c r="AH785" s="1" t="n"/>
    </row>
    <row r="786" ht="14.2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  <c r="AC786" s="1" t="n"/>
      <c r="AD786" s="1" t="n"/>
      <c r="AE786" s="1" t="n"/>
      <c r="AF786" s="1" t="n"/>
      <c r="AG786" s="1" t="n"/>
      <c r="AH786" s="1" t="n"/>
    </row>
    <row r="787" ht="14.2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  <c r="AC787" s="1" t="n"/>
      <c r="AD787" s="1" t="n"/>
      <c r="AE787" s="1" t="n"/>
      <c r="AF787" s="1" t="n"/>
      <c r="AG787" s="1" t="n"/>
      <c r="AH787" s="1" t="n"/>
    </row>
    <row r="788" ht="14.2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  <c r="AC788" s="1" t="n"/>
      <c r="AD788" s="1" t="n"/>
      <c r="AE788" s="1" t="n"/>
      <c r="AF788" s="1" t="n"/>
      <c r="AG788" s="1" t="n"/>
      <c r="AH788" s="1" t="n"/>
    </row>
    <row r="789" ht="14.2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  <c r="AC789" s="1" t="n"/>
      <c r="AD789" s="1" t="n"/>
      <c r="AE789" s="1" t="n"/>
      <c r="AF789" s="1" t="n"/>
      <c r="AG789" s="1" t="n"/>
      <c r="AH789" s="1" t="n"/>
    </row>
    <row r="790" ht="14.2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  <c r="AC790" s="1" t="n"/>
      <c r="AD790" s="1" t="n"/>
      <c r="AE790" s="1" t="n"/>
      <c r="AF790" s="1" t="n"/>
      <c r="AG790" s="1" t="n"/>
      <c r="AH790" s="1" t="n"/>
    </row>
    <row r="791" ht="14.2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  <c r="AC791" s="1" t="n"/>
      <c r="AD791" s="1" t="n"/>
      <c r="AE791" s="1" t="n"/>
      <c r="AF791" s="1" t="n"/>
      <c r="AG791" s="1" t="n"/>
      <c r="AH791" s="1" t="n"/>
    </row>
    <row r="792" ht="14.2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  <c r="AC792" s="1" t="n"/>
      <c r="AD792" s="1" t="n"/>
      <c r="AE792" s="1" t="n"/>
      <c r="AF792" s="1" t="n"/>
      <c r="AG792" s="1" t="n"/>
      <c r="AH792" s="1" t="n"/>
    </row>
    <row r="793" ht="14.2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  <c r="AC793" s="1" t="n"/>
      <c r="AD793" s="1" t="n"/>
      <c r="AE793" s="1" t="n"/>
      <c r="AF793" s="1" t="n"/>
      <c r="AG793" s="1" t="n"/>
      <c r="AH793" s="1" t="n"/>
    </row>
    <row r="794" ht="14.2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  <c r="AC794" s="1" t="n"/>
      <c r="AD794" s="1" t="n"/>
      <c r="AE794" s="1" t="n"/>
      <c r="AF794" s="1" t="n"/>
      <c r="AG794" s="1" t="n"/>
      <c r="AH794" s="1" t="n"/>
    </row>
    <row r="795" ht="14.2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  <c r="AC795" s="1" t="n"/>
      <c r="AD795" s="1" t="n"/>
      <c r="AE795" s="1" t="n"/>
      <c r="AF795" s="1" t="n"/>
      <c r="AG795" s="1" t="n"/>
      <c r="AH795" s="1" t="n"/>
    </row>
    <row r="796" ht="14.2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  <c r="AC796" s="1" t="n"/>
      <c r="AD796" s="1" t="n"/>
      <c r="AE796" s="1" t="n"/>
      <c r="AF796" s="1" t="n"/>
      <c r="AG796" s="1" t="n"/>
      <c r="AH796" s="1" t="n"/>
    </row>
    <row r="797" ht="14.2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  <c r="AC797" s="1" t="n"/>
      <c r="AD797" s="1" t="n"/>
      <c r="AE797" s="1" t="n"/>
      <c r="AF797" s="1" t="n"/>
      <c r="AG797" s="1" t="n"/>
      <c r="AH797" s="1" t="n"/>
    </row>
    <row r="798" ht="14.2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  <c r="AC798" s="1" t="n"/>
      <c r="AD798" s="1" t="n"/>
      <c r="AE798" s="1" t="n"/>
      <c r="AF798" s="1" t="n"/>
      <c r="AG798" s="1" t="n"/>
      <c r="AH798" s="1" t="n"/>
    </row>
    <row r="799" ht="14.2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  <c r="AC799" s="1" t="n"/>
      <c r="AD799" s="1" t="n"/>
      <c r="AE799" s="1" t="n"/>
      <c r="AF799" s="1" t="n"/>
      <c r="AG799" s="1" t="n"/>
      <c r="AH799" s="1" t="n"/>
    </row>
    <row r="800" ht="14.2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  <c r="AC800" s="1" t="n"/>
      <c r="AD800" s="1" t="n"/>
      <c r="AE800" s="1" t="n"/>
      <c r="AF800" s="1" t="n"/>
      <c r="AG800" s="1" t="n"/>
      <c r="AH800" s="1" t="n"/>
    </row>
    <row r="801" ht="14.2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  <c r="AC801" s="1" t="n"/>
      <c r="AD801" s="1" t="n"/>
      <c r="AE801" s="1" t="n"/>
      <c r="AF801" s="1" t="n"/>
      <c r="AG801" s="1" t="n"/>
      <c r="AH801" s="1" t="n"/>
    </row>
    <row r="802" ht="14.2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  <c r="AC802" s="1" t="n"/>
      <c r="AD802" s="1" t="n"/>
      <c r="AE802" s="1" t="n"/>
      <c r="AF802" s="1" t="n"/>
      <c r="AG802" s="1" t="n"/>
      <c r="AH802" s="1" t="n"/>
    </row>
    <row r="803" ht="14.2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  <c r="AC803" s="1" t="n"/>
      <c r="AD803" s="1" t="n"/>
      <c r="AE803" s="1" t="n"/>
      <c r="AF803" s="1" t="n"/>
      <c r="AG803" s="1" t="n"/>
      <c r="AH803" s="1" t="n"/>
    </row>
    <row r="804" ht="14.2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  <c r="AC804" s="1" t="n"/>
      <c r="AD804" s="1" t="n"/>
      <c r="AE804" s="1" t="n"/>
      <c r="AF804" s="1" t="n"/>
      <c r="AG804" s="1" t="n"/>
      <c r="AH804" s="1" t="n"/>
    </row>
    <row r="805" ht="14.2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  <c r="AC805" s="1" t="n"/>
      <c r="AD805" s="1" t="n"/>
      <c r="AE805" s="1" t="n"/>
      <c r="AF805" s="1" t="n"/>
      <c r="AG805" s="1" t="n"/>
      <c r="AH805" s="1" t="n"/>
    </row>
    <row r="806" ht="14.2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  <c r="AC806" s="1" t="n"/>
      <c r="AD806" s="1" t="n"/>
      <c r="AE806" s="1" t="n"/>
      <c r="AF806" s="1" t="n"/>
      <c r="AG806" s="1" t="n"/>
      <c r="AH806" s="1" t="n"/>
    </row>
    <row r="807" ht="14.2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  <c r="AC807" s="1" t="n"/>
      <c r="AD807" s="1" t="n"/>
      <c r="AE807" s="1" t="n"/>
      <c r="AF807" s="1" t="n"/>
      <c r="AG807" s="1" t="n"/>
      <c r="AH807" s="1" t="n"/>
    </row>
    <row r="808" ht="14.2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  <c r="AC808" s="1" t="n"/>
      <c r="AD808" s="1" t="n"/>
      <c r="AE808" s="1" t="n"/>
      <c r="AF808" s="1" t="n"/>
      <c r="AG808" s="1" t="n"/>
      <c r="AH808" s="1" t="n"/>
    </row>
    <row r="809" ht="14.2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  <c r="AC809" s="1" t="n"/>
      <c r="AD809" s="1" t="n"/>
      <c r="AE809" s="1" t="n"/>
      <c r="AF809" s="1" t="n"/>
      <c r="AG809" s="1" t="n"/>
      <c r="AH809" s="1" t="n"/>
    </row>
    <row r="810" ht="14.2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  <c r="AC810" s="1" t="n"/>
      <c r="AD810" s="1" t="n"/>
      <c r="AE810" s="1" t="n"/>
      <c r="AF810" s="1" t="n"/>
      <c r="AG810" s="1" t="n"/>
      <c r="AH810" s="1" t="n"/>
    </row>
    <row r="811" ht="14.2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  <c r="AC811" s="1" t="n"/>
      <c r="AD811" s="1" t="n"/>
      <c r="AE811" s="1" t="n"/>
      <c r="AF811" s="1" t="n"/>
      <c r="AG811" s="1" t="n"/>
      <c r="AH811" s="1" t="n"/>
    </row>
    <row r="812" ht="14.2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  <c r="AC812" s="1" t="n"/>
      <c r="AD812" s="1" t="n"/>
      <c r="AE812" s="1" t="n"/>
      <c r="AF812" s="1" t="n"/>
      <c r="AG812" s="1" t="n"/>
      <c r="AH812" s="1" t="n"/>
    </row>
    <row r="813" ht="14.2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  <c r="AC813" s="1" t="n"/>
      <c r="AD813" s="1" t="n"/>
      <c r="AE813" s="1" t="n"/>
      <c r="AF813" s="1" t="n"/>
      <c r="AG813" s="1" t="n"/>
      <c r="AH813" s="1" t="n"/>
    </row>
    <row r="814" ht="14.2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  <c r="AC814" s="1" t="n"/>
      <c r="AD814" s="1" t="n"/>
      <c r="AE814" s="1" t="n"/>
      <c r="AF814" s="1" t="n"/>
      <c r="AG814" s="1" t="n"/>
      <c r="AH814" s="1" t="n"/>
    </row>
    <row r="815" ht="14.2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  <c r="AC815" s="1" t="n"/>
      <c r="AD815" s="1" t="n"/>
      <c r="AE815" s="1" t="n"/>
      <c r="AF815" s="1" t="n"/>
      <c r="AG815" s="1" t="n"/>
      <c r="AH815" s="1" t="n"/>
    </row>
    <row r="816" ht="14.2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  <c r="AC816" s="1" t="n"/>
      <c r="AD816" s="1" t="n"/>
      <c r="AE816" s="1" t="n"/>
      <c r="AF816" s="1" t="n"/>
      <c r="AG816" s="1" t="n"/>
      <c r="AH816" s="1" t="n"/>
    </row>
    <row r="817" ht="14.2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  <c r="AC817" s="1" t="n"/>
      <c r="AD817" s="1" t="n"/>
      <c r="AE817" s="1" t="n"/>
      <c r="AF817" s="1" t="n"/>
      <c r="AG817" s="1" t="n"/>
      <c r="AH817" s="1" t="n"/>
    </row>
    <row r="818" ht="14.2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  <c r="AC818" s="1" t="n"/>
      <c r="AD818" s="1" t="n"/>
      <c r="AE818" s="1" t="n"/>
      <c r="AF818" s="1" t="n"/>
      <c r="AG818" s="1" t="n"/>
      <c r="AH818" s="1" t="n"/>
    </row>
    <row r="819" ht="14.2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  <c r="AC819" s="1" t="n"/>
      <c r="AD819" s="1" t="n"/>
      <c r="AE819" s="1" t="n"/>
      <c r="AF819" s="1" t="n"/>
      <c r="AG819" s="1" t="n"/>
      <c r="AH819" s="1" t="n"/>
    </row>
    <row r="820" ht="14.2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  <c r="AC820" s="1" t="n"/>
      <c r="AD820" s="1" t="n"/>
      <c r="AE820" s="1" t="n"/>
      <c r="AF820" s="1" t="n"/>
      <c r="AG820" s="1" t="n"/>
      <c r="AH820" s="1" t="n"/>
    </row>
    <row r="821" ht="14.2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  <c r="AC821" s="1" t="n"/>
      <c r="AD821" s="1" t="n"/>
      <c r="AE821" s="1" t="n"/>
      <c r="AF821" s="1" t="n"/>
      <c r="AG821" s="1" t="n"/>
      <c r="AH821" s="1" t="n"/>
    </row>
    <row r="822" ht="14.2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  <c r="AC822" s="1" t="n"/>
      <c r="AD822" s="1" t="n"/>
      <c r="AE822" s="1" t="n"/>
      <c r="AF822" s="1" t="n"/>
      <c r="AG822" s="1" t="n"/>
      <c r="AH822" s="1" t="n"/>
    </row>
    <row r="823" ht="14.2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  <c r="AC823" s="1" t="n"/>
      <c r="AD823" s="1" t="n"/>
      <c r="AE823" s="1" t="n"/>
      <c r="AF823" s="1" t="n"/>
      <c r="AG823" s="1" t="n"/>
      <c r="AH823" s="1" t="n"/>
    </row>
    <row r="824" ht="14.2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  <c r="AC824" s="1" t="n"/>
      <c r="AD824" s="1" t="n"/>
      <c r="AE824" s="1" t="n"/>
      <c r="AF824" s="1" t="n"/>
      <c r="AG824" s="1" t="n"/>
      <c r="AH824" s="1" t="n"/>
    </row>
    <row r="825" ht="14.2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  <c r="AC825" s="1" t="n"/>
      <c r="AD825" s="1" t="n"/>
      <c r="AE825" s="1" t="n"/>
      <c r="AF825" s="1" t="n"/>
      <c r="AG825" s="1" t="n"/>
      <c r="AH825" s="1" t="n"/>
    </row>
    <row r="826" ht="14.2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  <c r="AC826" s="1" t="n"/>
      <c r="AD826" s="1" t="n"/>
      <c r="AE826" s="1" t="n"/>
      <c r="AF826" s="1" t="n"/>
      <c r="AG826" s="1" t="n"/>
      <c r="AH826" s="1" t="n"/>
    </row>
    <row r="827" ht="14.2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  <c r="AC827" s="1" t="n"/>
      <c r="AD827" s="1" t="n"/>
      <c r="AE827" s="1" t="n"/>
      <c r="AF827" s="1" t="n"/>
      <c r="AG827" s="1" t="n"/>
      <c r="AH827" s="1" t="n"/>
    </row>
    <row r="828" ht="14.2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  <c r="AC828" s="1" t="n"/>
      <c r="AD828" s="1" t="n"/>
      <c r="AE828" s="1" t="n"/>
      <c r="AF828" s="1" t="n"/>
      <c r="AG828" s="1" t="n"/>
      <c r="AH828" s="1" t="n"/>
    </row>
    <row r="829" ht="14.2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  <c r="AC829" s="1" t="n"/>
      <c r="AD829" s="1" t="n"/>
      <c r="AE829" s="1" t="n"/>
      <c r="AF829" s="1" t="n"/>
      <c r="AG829" s="1" t="n"/>
      <c r="AH829" s="1" t="n"/>
    </row>
    <row r="830" ht="14.2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  <c r="AC830" s="1" t="n"/>
      <c r="AD830" s="1" t="n"/>
      <c r="AE830" s="1" t="n"/>
      <c r="AF830" s="1" t="n"/>
      <c r="AG830" s="1" t="n"/>
      <c r="AH830" s="1" t="n"/>
    </row>
    <row r="831" ht="14.2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  <c r="AC831" s="1" t="n"/>
      <c r="AD831" s="1" t="n"/>
      <c r="AE831" s="1" t="n"/>
      <c r="AF831" s="1" t="n"/>
      <c r="AG831" s="1" t="n"/>
      <c r="AH831" s="1" t="n"/>
    </row>
    <row r="832" ht="14.2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  <c r="AC832" s="1" t="n"/>
      <c r="AD832" s="1" t="n"/>
      <c r="AE832" s="1" t="n"/>
      <c r="AF832" s="1" t="n"/>
      <c r="AG832" s="1" t="n"/>
      <c r="AH832" s="1" t="n"/>
    </row>
    <row r="833" ht="14.2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  <c r="AC833" s="1" t="n"/>
      <c r="AD833" s="1" t="n"/>
      <c r="AE833" s="1" t="n"/>
      <c r="AF833" s="1" t="n"/>
      <c r="AG833" s="1" t="n"/>
      <c r="AH833" s="1" t="n"/>
    </row>
    <row r="834" ht="14.2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  <c r="AC834" s="1" t="n"/>
      <c r="AD834" s="1" t="n"/>
      <c r="AE834" s="1" t="n"/>
      <c r="AF834" s="1" t="n"/>
      <c r="AG834" s="1" t="n"/>
      <c r="AH834" s="1" t="n"/>
    </row>
    <row r="835" ht="14.2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  <c r="AC835" s="1" t="n"/>
      <c r="AD835" s="1" t="n"/>
      <c r="AE835" s="1" t="n"/>
      <c r="AF835" s="1" t="n"/>
      <c r="AG835" s="1" t="n"/>
      <c r="AH835" s="1" t="n"/>
    </row>
    <row r="836" ht="14.2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  <c r="AC836" s="1" t="n"/>
      <c r="AD836" s="1" t="n"/>
      <c r="AE836" s="1" t="n"/>
      <c r="AF836" s="1" t="n"/>
      <c r="AG836" s="1" t="n"/>
      <c r="AH836" s="1" t="n"/>
    </row>
    <row r="837" ht="14.2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  <c r="AC837" s="1" t="n"/>
      <c r="AD837" s="1" t="n"/>
      <c r="AE837" s="1" t="n"/>
      <c r="AF837" s="1" t="n"/>
      <c r="AG837" s="1" t="n"/>
      <c r="AH837" s="1" t="n"/>
    </row>
    <row r="838" ht="14.2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  <c r="AC838" s="1" t="n"/>
      <c r="AD838" s="1" t="n"/>
      <c r="AE838" s="1" t="n"/>
      <c r="AF838" s="1" t="n"/>
      <c r="AG838" s="1" t="n"/>
      <c r="AH838" s="1" t="n"/>
    </row>
    <row r="839" ht="14.2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  <c r="AC839" s="1" t="n"/>
      <c r="AD839" s="1" t="n"/>
      <c r="AE839" s="1" t="n"/>
      <c r="AF839" s="1" t="n"/>
      <c r="AG839" s="1" t="n"/>
      <c r="AH839" s="1" t="n"/>
    </row>
    <row r="840" ht="14.2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  <c r="AC840" s="1" t="n"/>
      <c r="AD840" s="1" t="n"/>
      <c r="AE840" s="1" t="n"/>
      <c r="AF840" s="1" t="n"/>
      <c r="AG840" s="1" t="n"/>
      <c r="AH840" s="1" t="n"/>
    </row>
    <row r="841" ht="14.2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  <c r="AC841" s="1" t="n"/>
      <c r="AD841" s="1" t="n"/>
      <c r="AE841" s="1" t="n"/>
      <c r="AF841" s="1" t="n"/>
      <c r="AG841" s="1" t="n"/>
      <c r="AH841" s="1" t="n"/>
    </row>
    <row r="842" ht="14.2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  <c r="AC842" s="1" t="n"/>
      <c r="AD842" s="1" t="n"/>
      <c r="AE842" s="1" t="n"/>
      <c r="AF842" s="1" t="n"/>
      <c r="AG842" s="1" t="n"/>
      <c r="AH842" s="1" t="n"/>
    </row>
    <row r="843" ht="14.2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  <c r="AC843" s="1" t="n"/>
      <c r="AD843" s="1" t="n"/>
      <c r="AE843" s="1" t="n"/>
      <c r="AF843" s="1" t="n"/>
      <c r="AG843" s="1" t="n"/>
      <c r="AH843" s="1" t="n"/>
    </row>
    <row r="844" ht="14.2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  <c r="AC844" s="1" t="n"/>
      <c r="AD844" s="1" t="n"/>
      <c r="AE844" s="1" t="n"/>
      <c r="AF844" s="1" t="n"/>
      <c r="AG844" s="1" t="n"/>
      <c r="AH844" s="1" t="n"/>
    </row>
    <row r="845" ht="14.2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  <c r="AC845" s="1" t="n"/>
      <c r="AD845" s="1" t="n"/>
      <c r="AE845" s="1" t="n"/>
      <c r="AF845" s="1" t="n"/>
      <c r="AG845" s="1" t="n"/>
      <c r="AH845" s="1" t="n"/>
    </row>
    <row r="846" ht="14.2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  <c r="AC846" s="1" t="n"/>
      <c r="AD846" s="1" t="n"/>
      <c r="AE846" s="1" t="n"/>
      <c r="AF846" s="1" t="n"/>
      <c r="AG846" s="1" t="n"/>
      <c r="AH846" s="1" t="n"/>
    </row>
    <row r="847" ht="14.2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  <c r="AC847" s="1" t="n"/>
      <c r="AD847" s="1" t="n"/>
      <c r="AE847" s="1" t="n"/>
      <c r="AF847" s="1" t="n"/>
      <c r="AG847" s="1" t="n"/>
      <c r="AH847" s="1" t="n"/>
    </row>
    <row r="848" ht="14.2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  <c r="AC848" s="1" t="n"/>
      <c r="AD848" s="1" t="n"/>
      <c r="AE848" s="1" t="n"/>
      <c r="AF848" s="1" t="n"/>
      <c r="AG848" s="1" t="n"/>
      <c r="AH848" s="1" t="n"/>
    </row>
    <row r="849" ht="14.2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  <c r="AC849" s="1" t="n"/>
      <c r="AD849" s="1" t="n"/>
      <c r="AE849" s="1" t="n"/>
      <c r="AF849" s="1" t="n"/>
      <c r="AG849" s="1" t="n"/>
      <c r="AH849" s="1" t="n"/>
    </row>
    <row r="850" ht="14.2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  <c r="AC850" s="1" t="n"/>
      <c r="AD850" s="1" t="n"/>
      <c r="AE850" s="1" t="n"/>
      <c r="AF850" s="1" t="n"/>
      <c r="AG850" s="1" t="n"/>
      <c r="AH850" s="1" t="n"/>
    </row>
    <row r="851" ht="14.2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  <c r="AC851" s="1" t="n"/>
      <c r="AD851" s="1" t="n"/>
      <c r="AE851" s="1" t="n"/>
      <c r="AF851" s="1" t="n"/>
      <c r="AG851" s="1" t="n"/>
      <c r="AH851" s="1" t="n"/>
    </row>
    <row r="852" ht="14.2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  <c r="AC852" s="1" t="n"/>
      <c r="AD852" s="1" t="n"/>
      <c r="AE852" s="1" t="n"/>
      <c r="AF852" s="1" t="n"/>
      <c r="AG852" s="1" t="n"/>
      <c r="AH852" s="1" t="n"/>
    </row>
    <row r="853" ht="14.2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  <c r="AC853" s="1" t="n"/>
      <c r="AD853" s="1" t="n"/>
      <c r="AE853" s="1" t="n"/>
      <c r="AF853" s="1" t="n"/>
      <c r="AG853" s="1" t="n"/>
      <c r="AH853" s="1" t="n"/>
    </row>
    <row r="854" ht="14.2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  <c r="AC854" s="1" t="n"/>
      <c r="AD854" s="1" t="n"/>
      <c r="AE854" s="1" t="n"/>
      <c r="AF854" s="1" t="n"/>
      <c r="AG854" s="1" t="n"/>
      <c r="AH854" s="1" t="n"/>
    </row>
    <row r="855" ht="14.2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  <c r="AC855" s="1" t="n"/>
      <c r="AD855" s="1" t="n"/>
      <c r="AE855" s="1" t="n"/>
      <c r="AF855" s="1" t="n"/>
      <c r="AG855" s="1" t="n"/>
      <c r="AH855" s="1" t="n"/>
    </row>
    <row r="856" ht="14.2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  <c r="AC856" s="1" t="n"/>
      <c r="AD856" s="1" t="n"/>
      <c r="AE856" s="1" t="n"/>
      <c r="AF856" s="1" t="n"/>
      <c r="AG856" s="1" t="n"/>
      <c r="AH856" s="1" t="n"/>
    </row>
    <row r="857" ht="14.2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  <c r="AC857" s="1" t="n"/>
      <c r="AD857" s="1" t="n"/>
      <c r="AE857" s="1" t="n"/>
      <c r="AF857" s="1" t="n"/>
      <c r="AG857" s="1" t="n"/>
      <c r="AH857" s="1" t="n"/>
    </row>
    <row r="858" ht="14.2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  <c r="AC858" s="1" t="n"/>
      <c r="AD858" s="1" t="n"/>
      <c r="AE858" s="1" t="n"/>
      <c r="AF858" s="1" t="n"/>
      <c r="AG858" s="1" t="n"/>
      <c r="AH858" s="1" t="n"/>
    </row>
    <row r="859" ht="14.2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  <c r="AC859" s="1" t="n"/>
      <c r="AD859" s="1" t="n"/>
      <c r="AE859" s="1" t="n"/>
      <c r="AF859" s="1" t="n"/>
      <c r="AG859" s="1" t="n"/>
      <c r="AH859" s="1" t="n"/>
    </row>
    <row r="860" ht="14.2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  <c r="AC860" s="1" t="n"/>
      <c r="AD860" s="1" t="n"/>
      <c r="AE860" s="1" t="n"/>
      <c r="AF860" s="1" t="n"/>
      <c r="AG860" s="1" t="n"/>
      <c r="AH860" s="1" t="n"/>
    </row>
    <row r="861" ht="14.2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  <c r="AC861" s="1" t="n"/>
      <c r="AD861" s="1" t="n"/>
      <c r="AE861" s="1" t="n"/>
      <c r="AF861" s="1" t="n"/>
      <c r="AG861" s="1" t="n"/>
      <c r="AH861" s="1" t="n"/>
    </row>
    <row r="862" ht="14.2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  <c r="AC862" s="1" t="n"/>
      <c r="AD862" s="1" t="n"/>
      <c r="AE862" s="1" t="n"/>
      <c r="AF862" s="1" t="n"/>
      <c r="AG862" s="1" t="n"/>
      <c r="AH862" s="1" t="n"/>
    </row>
    <row r="863" ht="14.2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  <c r="AC863" s="1" t="n"/>
      <c r="AD863" s="1" t="n"/>
      <c r="AE863" s="1" t="n"/>
      <c r="AF863" s="1" t="n"/>
      <c r="AG863" s="1" t="n"/>
      <c r="AH863" s="1" t="n"/>
    </row>
    <row r="864" ht="14.2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  <c r="AC864" s="1" t="n"/>
      <c r="AD864" s="1" t="n"/>
      <c r="AE864" s="1" t="n"/>
      <c r="AF864" s="1" t="n"/>
      <c r="AG864" s="1" t="n"/>
      <c r="AH864" s="1" t="n"/>
    </row>
    <row r="865" ht="14.2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  <c r="AC865" s="1" t="n"/>
      <c r="AD865" s="1" t="n"/>
      <c r="AE865" s="1" t="n"/>
      <c r="AF865" s="1" t="n"/>
      <c r="AG865" s="1" t="n"/>
      <c r="AH865" s="1" t="n"/>
    </row>
    <row r="866" ht="14.2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  <c r="AC866" s="1" t="n"/>
      <c r="AD866" s="1" t="n"/>
      <c r="AE866" s="1" t="n"/>
      <c r="AF866" s="1" t="n"/>
      <c r="AG866" s="1" t="n"/>
      <c r="AH866" s="1" t="n"/>
    </row>
    <row r="867" ht="14.2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  <c r="AC867" s="1" t="n"/>
      <c r="AD867" s="1" t="n"/>
      <c r="AE867" s="1" t="n"/>
      <c r="AF867" s="1" t="n"/>
      <c r="AG867" s="1" t="n"/>
      <c r="AH867" s="1" t="n"/>
    </row>
    <row r="868" ht="14.2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  <c r="AC868" s="1" t="n"/>
      <c r="AD868" s="1" t="n"/>
      <c r="AE868" s="1" t="n"/>
      <c r="AF868" s="1" t="n"/>
      <c r="AG868" s="1" t="n"/>
      <c r="AH868" s="1" t="n"/>
    </row>
    <row r="869" ht="14.2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  <c r="AC869" s="1" t="n"/>
      <c r="AD869" s="1" t="n"/>
      <c r="AE869" s="1" t="n"/>
      <c r="AF869" s="1" t="n"/>
      <c r="AG869" s="1" t="n"/>
      <c r="AH869" s="1" t="n"/>
    </row>
    <row r="870" ht="14.2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  <c r="AC870" s="1" t="n"/>
      <c r="AD870" s="1" t="n"/>
      <c r="AE870" s="1" t="n"/>
      <c r="AF870" s="1" t="n"/>
      <c r="AG870" s="1" t="n"/>
      <c r="AH870" s="1" t="n"/>
    </row>
    <row r="871" ht="14.2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  <c r="AC871" s="1" t="n"/>
      <c r="AD871" s="1" t="n"/>
      <c r="AE871" s="1" t="n"/>
      <c r="AF871" s="1" t="n"/>
      <c r="AG871" s="1" t="n"/>
      <c r="AH871" s="1" t="n"/>
    </row>
    <row r="872" ht="14.2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  <c r="AC872" s="1" t="n"/>
      <c r="AD872" s="1" t="n"/>
      <c r="AE872" s="1" t="n"/>
      <c r="AF872" s="1" t="n"/>
      <c r="AG872" s="1" t="n"/>
      <c r="AH872" s="1" t="n"/>
    </row>
    <row r="873" ht="14.2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  <c r="AC873" s="1" t="n"/>
      <c r="AD873" s="1" t="n"/>
      <c r="AE873" s="1" t="n"/>
      <c r="AF873" s="1" t="n"/>
      <c r="AG873" s="1" t="n"/>
      <c r="AH873" s="1" t="n"/>
    </row>
    <row r="874" ht="14.2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  <c r="AC874" s="1" t="n"/>
      <c r="AD874" s="1" t="n"/>
      <c r="AE874" s="1" t="n"/>
      <c r="AF874" s="1" t="n"/>
      <c r="AG874" s="1" t="n"/>
      <c r="AH874" s="1" t="n"/>
    </row>
    <row r="875" ht="14.2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  <c r="AC875" s="1" t="n"/>
      <c r="AD875" s="1" t="n"/>
      <c r="AE875" s="1" t="n"/>
      <c r="AF875" s="1" t="n"/>
      <c r="AG875" s="1" t="n"/>
      <c r="AH875" s="1" t="n"/>
    </row>
    <row r="876" ht="14.2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  <c r="AC876" s="1" t="n"/>
      <c r="AD876" s="1" t="n"/>
      <c r="AE876" s="1" t="n"/>
      <c r="AF876" s="1" t="n"/>
      <c r="AG876" s="1" t="n"/>
      <c r="AH876" s="1" t="n"/>
    </row>
    <row r="877" ht="14.2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  <c r="AC877" s="1" t="n"/>
      <c r="AD877" s="1" t="n"/>
      <c r="AE877" s="1" t="n"/>
      <c r="AF877" s="1" t="n"/>
      <c r="AG877" s="1" t="n"/>
      <c r="AH877" s="1" t="n"/>
    </row>
    <row r="878" ht="14.2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  <c r="AC878" s="1" t="n"/>
      <c r="AD878" s="1" t="n"/>
      <c r="AE878" s="1" t="n"/>
      <c r="AF878" s="1" t="n"/>
      <c r="AG878" s="1" t="n"/>
      <c r="AH878" s="1" t="n"/>
    </row>
    <row r="879" ht="14.2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  <c r="AC879" s="1" t="n"/>
      <c r="AD879" s="1" t="n"/>
      <c r="AE879" s="1" t="n"/>
      <c r="AF879" s="1" t="n"/>
      <c r="AG879" s="1" t="n"/>
      <c r="AH879" s="1" t="n"/>
    </row>
    <row r="880" ht="14.2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  <c r="AC880" s="1" t="n"/>
      <c r="AD880" s="1" t="n"/>
      <c r="AE880" s="1" t="n"/>
      <c r="AF880" s="1" t="n"/>
      <c r="AG880" s="1" t="n"/>
      <c r="AH880" s="1" t="n"/>
    </row>
    <row r="881" ht="14.2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  <c r="AC881" s="1" t="n"/>
      <c r="AD881" s="1" t="n"/>
      <c r="AE881" s="1" t="n"/>
      <c r="AF881" s="1" t="n"/>
      <c r="AG881" s="1" t="n"/>
      <c r="AH881" s="1" t="n"/>
    </row>
    <row r="882" ht="14.2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  <c r="AC882" s="1" t="n"/>
      <c r="AD882" s="1" t="n"/>
      <c r="AE882" s="1" t="n"/>
      <c r="AF882" s="1" t="n"/>
      <c r="AG882" s="1" t="n"/>
      <c r="AH882" s="1" t="n"/>
    </row>
    <row r="883" ht="14.2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  <c r="AC883" s="1" t="n"/>
      <c r="AD883" s="1" t="n"/>
      <c r="AE883" s="1" t="n"/>
      <c r="AF883" s="1" t="n"/>
      <c r="AG883" s="1" t="n"/>
      <c r="AH883" s="1" t="n"/>
    </row>
    <row r="884" ht="14.2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  <c r="AC884" s="1" t="n"/>
      <c r="AD884" s="1" t="n"/>
      <c r="AE884" s="1" t="n"/>
      <c r="AF884" s="1" t="n"/>
      <c r="AG884" s="1" t="n"/>
      <c r="AH884" s="1" t="n"/>
    </row>
    <row r="885" ht="14.2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  <c r="AC885" s="1" t="n"/>
      <c r="AD885" s="1" t="n"/>
      <c r="AE885" s="1" t="n"/>
      <c r="AF885" s="1" t="n"/>
      <c r="AG885" s="1" t="n"/>
      <c r="AH885" s="1" t="n"/>
    </row>
    <row r="886" ht="14.2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  <c r="AC886" s="1" t="n"/>
      <c r="AD886" s="1" t="n"/>
      <c r="AE886" s="1" t="n"/>
      <c r="AF886" s="1" t="n"/>
      <c r="AG886" s="1" t="n"/>
      <c r="AH886" s="1" t="n"/>
    </row>
    <row r="887" ht="14.2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  <c r="AC887" s="1" t="n"/>
      <c r="AD887" s="1" t="n"/>
      <c r="AE887" s="1" t="n"/>
      <c r="AF887" s="1" t="n"/>
      <c r="AG887" s="1" t="n"/>
      <c r="AH887" s="1" t="n"/>
    </row>
    <row r="888" ht="14.2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  <c r="AC888" s="1" t="n"/>
      <c r="AD888" s="1" t="n"/>
      <c r="AE888" s="1" t="n"/>
      <c r="AF888" s="1" t="n"/>
      <c r="AG888" s="1" t="n"/>
      <c r="AH888" s="1" t="n"/>
    </row>
    <row r="889" ht="14.2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  <c r="AC889" s="1" t="n"/>
      <c r="AD889" s="1" t="n"/>
      <c r="AE889" s="1" t="n"/>
      <c r="AF889" s="1" t="n"/>
      <c r="AG889" s="1" t="n"/>
      <c r="AH889" s="1" t="n"/>
    </row>
    <row r="890" ht="14.2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  <c r="AC890" s="1" t="n"/>
      <c r="AD890" s="1" t="n"/>
      <c r="AE890" s="1" t="n"/>
      <c r="AF890" s="1" t="n"/>
      <c r="AG890" s="1" t="n"/>
      <c r="AH890" s="1" t="n"/>
    </row>
    <row r="891" ht="14.2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  <c r="AC891" s="1" t="n"/>
      <c r="AD891" s="1" t="n"/>
      <c r="AE891" s="1" t="n"/>
      <c r="AF891" s="1" t="n"/>
      <c r="AG891" s="1" t="n"/>
      <c r="AH891" s="1" t="n"/>
    </row>
    <row r="892" ht="14.2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  <c r="AC892" s="1" t="n"/>
      <c r="AD892" s="1" t="n"/>
      <c r="AE892" s="1" t="n"/>
      <c r="AF892" s="1" t="n"/>
      <c r="AG892" s="1" t="n"/>
      <c r="AH892" s="1" t="n"/>
    </row>
    <row r="893" ht="14.2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  <c r="AC893" s="1" t="n"/>
      <c r="AD893" s="1" t="n"/>
      <c r="AE893" s="1" t="n"/>
      <c r="AF893" s="1" t="n"/>
      <c r="AG893" s="1" t="n"/>
      <c r="AH893" s="1" t="n"/>
    </row>
    <row r="894" ht="14.2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  <c r="AC894" s="1" t="n"/>
      <c r="AD894" s="1" t="n"/>
      <c r="AE894" s="1" t="n"/>
      <c r="AF894" s="1" t="n"/>
      <c r="AG894" s="1" t="n"/>
      <c r="AH894" s="1" t="n"/>
    </row>
    <row r="895" ht="14.2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  <c r="AC895" s="1" t="n"/>
      <c r="AD895" s="1" t="n"/>
      <c r="AE895" s="1" t="n"/>
      <c r="AF895" s="1" t="n"/>
      <c r="AG895" s="1" t="n"/>
      <c r="AH895" s="1" t="n"/>
    </row>
    <row r="896" ht="14.2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  <c r="AC896" s="1" t="n"/>
      <c r="AD896" s="1" t="n"/>
      <c r="AE896" s="1" t="n"/>
      <c r="AF896" s="1" t="n"/>
      <c r="AG896" s="1" t="n"/>
      <c r="AH896" s="1" t="n"/>
    </row>
    <row r="897" ht="14.2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  <c r="AC897" s="1" t="n"/>
      <c r="AD897" s="1" t="n"/>
      <c r="AE897" s="1" t="n"/>
      <c r="AF897" s="1" t="n"/>
      <c r="AG897" s="1" t="n"/>
      <c r="AH897" s="1" t="n"/>
    </row>
    <row r="898" ht="14.2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  <c r="AC898" s="1" t="n"/>
      <c r="AD898" s="1" t="n"/>
      <c r="AE898" s="1" t="n"/>
      <c r="AF898" s="1" t="n"/>
      <c r="AG898" s="1" t="n"/>
      <c r="AH898" s="1" t="n"/>
    </row>
    <row r="899" ht="14.2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  <c r="AC899" s="1" t="n"/>
      <c r="AD899" s="1" t="n"/>
      <c r="AE899" s="1" t="n"/>
      <c r="AF899" s="1" t="n"/>
      <c r="AG899" s="1" t="n"/>
      <c r="AH899" s="1" t="n"/>
    </row>
    <row r="900" ht="14.2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  <c r="AC900" s="1" t="n"/>
      <c r="AD900" s="1" t="n"/>
      <c r="AE900" s="1" t="n"/>
      <c r="AF900" s="1" t="n"/>
      <c r="AG900" s="1" t="n"/>
      <c r="AH900" s="1" t="n"/>
    </row>
    <row r="901" ht="14.2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  <c r="AC901" s="1" t="n"/>
      <c r="AD901" s="1" t="n"/>
      <c r="AE901" s="1" t="n"/>
      <c r="AF901" s="1" t="n"/>
      <c r="AG901" s="1" t="n"/>
      <c r="AH901" s="1" t="n"/>
    </row>
    <row r="902" ht="14.2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  <c r="AC902" s="1" t="n"/>
      <c r="AD902" s="1" t="n"/>
      <c r="AE902" s="1" t="n"/>
      <c r="AF902" s="1" t="n"/>
      <c r="AG902" s="1" t="n"/>
      <c r="AH902" s="1" t="n"/>
    </row>
    <row r="903" ht="14.2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  <c r="AC903" s="1" t="n"/>
      <c r="AD903" s="1" t="n"/>
      <c r="AE903" s="1" t="n"/>
      <c r="AF903" s="1" t="n"/>
      <c r="AG903" s="1" t="n"/>
      <c r="AH903" s="1" t="n"/>
    </row>
    <row r="904" ht="14.2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  <c r="AC904" s="1" t="n"/>
      <c r="AD904" s="1" t="n"/>
      <c r="AE904" s="1" t="n"/>
      <c r="AF904" s="1" t="n"/>
      <c r="AG904" s="1" t="n"/>
      <c r="AH904" s="1" t="n"/>
    </row>
    <row r="905" ht="14.2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  <c r="AC905" s="1" t="n"/>
      <c r="AD905" s="1" t="n"/>
      <c r="AE905" s="1" t="n"/>
      <c r="AF905" s="1" t="n"/>
      <c r="AG905" s="1" t="n"/>
      <c r="AH905" s="1" t="n"/>
    </row>
    <row r="906" ht="14.2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  <c r="AC906" s="1" t="n"/>
      <c r="AD906" s="1" t="n"/>
      <c r="AE906" s="1" t="n"/>
      <c r="AF906" s="1" t="n"/>
      <c r="AG906" s="1" t="n"/>
      <c r="AH906" s="1" t="n"/>
    </row>
    <row r="907" ht="14.2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  <c r="AC907" s="1" t="n"/>
      <c r="AD907" s="1" t="n"/>
      <c r="AE907" s="1" t="n"/>
      <c r="AF907" s="1" t="n"/>
      <c r="AG907" s="1" t="n"/>
      <c r="AH907" s="1" t="n"/>
    </row>
    <row r="908" ht="14.2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  <c r="AC908" s="1" t="n"/>
      <c r="AD908" s="1" t="n"/>
      <c r="AE908" s="1" t="n"/>
      <c r="AF908" s="1" t="n"/>
      <c r="AG908" s="1" t="n"/>
      <c r="AH908" s="1" t="n"/>
    </row>
    <row r="909" ht="14.2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  <c r="AC909" s="1" t="n"/>
      <c r="AD909" s="1" t="n"/>
      <c r="AE909" s="1" t="n"/>
      <c r="AF909" s="1" t="n"/>
      <c r="AG909" s="1" t="n"/>
      <c r="AH909" s="1" t="n"/>
    </row>
    <row r="910" ht="14.2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  <c r="AC910" s="1" t="n"/>
      <c r="AD910" s="1" t="n"/>
      <c r="AE910" s="1" t="n"/>
      <c r="AF910" s="1" t="n"/>
      <c r="AG910" s="1" t="n"/>
      <c r="AH910" s="1" t="n"/>
    </row>
    <row r="911" ht="14.2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  <c r="AC911" s="1" t="n"/>
      <c r="AD911" s="1" t="n"/>
      <c r="AE911" s="1" t="n"/>
      <c r="AF911" s="1" t="n"/>
      <c r="AG911" s="1" t="n"/>
      <c r="AH911" s="1" t="n"/>
    </row>
    <row r="912" ht="14.2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  <c r="AC912" s="1" t="n"/>
      <c r="AD912" s="1" t="n"/>
      <c r="AE912" s="1" t="n"/>
      <c r="AF912" s="1" t="n"/>
      <c r="AG912" s="1" t="n"/>
      <c r="AH912" s="1" t="n"/>
    </row>
    <row r="913" ht="14.2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  <c r="AC913" s="1" t="n"/>
      <c r="AD913" s="1" t="n"/>
      <c r="AE913" s="1" t="n"/>
      <c r="AF913" s="1" t="n"/>
      <c r="AG913" s="1" t="n"/>
      <c r="AH913" s="1" t="n"/>
    </row>
    <row r="914" ht="14.2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  <c r="AC914" s="1" t="n"/>
      <c r="AD914" s="1" t="n"/>
      <c r="AE914" s="1" t="n"/>
      <c r="AF914" s="1" t="n"/>
      <c r="AG914" s="1" t="n"/>
      <c r="AH914" s="1" t="n"/>
    </row>
    <row r="915" ht="14.2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  <c r="AC915" s="1" t="n"/>
      <c r="AD915" s="1" t="n"/>
      <c r="AE915" s="1" t="n"/>
      <c r="AF915" s="1" t="n"/>
      <c r="AG915" s="1" t="n"/>
      <c r="AH915" s="1" t="n"/>
    </row>
    <row r="916" ht="14.2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  <c r="AC916" s="1" t="n"/>
      <c r="AD916" s="1" t="n"/>
      <c r="AE916" s="1" t="n"/>
      <c r="AF916" s="1" t="n"/>
      <c r="AG916" s="1" t="n"/>
      <c r="AH916" s="1" t="n"/>
    </row>
    <row r="917" ht="14.2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  <c r="AC917" s="1" t="n"/>
      <c r="AD917" s="1" t="n"/>
      <c r="AE917" s="1" t="n"/>
      <c r="AF917" s="1" t="n"/>
      <c r="AG917" s="1" t="n"/>
      <c r="AH917" s="1" t="n"/>
    </row>
    <row r="918" ht="14.2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  <c r="AC918" s="1" t="n"/>
      <c r="AD918" s="1" t="n"/>
      <c r="AE918" s="1" t="n"/>
      <c r="AF918" s="1" t="n"/>
      <c r="AG918" s="1" t="n"/>
      <c r="AH918" s="1" t="n"/>
    </row>
    <row r="919" ht="14.2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  <c r="AC919" s="1" t="n"/>
      <c r="AD919" s="1" t="n"/>
      <c r="AE919" s="1" t="n"/>
      <c r="AF919" s="1" t="n"/>
      <c r="AG919" s="1" t="n"/>
      <c r="AH919" s="1" t="n"/>
    </row>
    <row r="920" ht="14.2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  <c r="AC920" s="1" t="n"/>
      <c r="AD920" s="1" t="n"/>
      <c r="AE920" s="1" t="n"/>
      <c r="AF920" s="1" t="n"/>
      <c r="AG920" s="1" t="n"/>
      <c r="AH920" s="1" t="n"/>
    </row>
    <row r="921" ht="14.2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  <c r="AC921" s="1" t="n"/>
      <c r="AD921" s="1" t="n"/>
      <c r="AE921" s="1" t="n"/>
      <c r="AF921" s="1" t="n"/>
      <c r="AG921" s="1" t="n"/>
      <c r="AH921" s="1" t="n"/>
    </row>
    <row r="922" ht="14.2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  <c r="AC922" s="1" t="n"/>
      <c r="AD922" s="1" t="n"/>
      <c r="AE922" s="1" t="n"/>
      <c r="AF922" s="1" t="n"/>
      <c r="AG922" s="1" t="n"/>
      <c r="AH922" s="1" t="n"/>
    </row>
    <row r="923" ht="14.2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  <c r="AC923" s="1" t="n"/>
      <c r="AD923" s="1" t="n"/>
      <c r="AE923" s="1" t="n"/>
      <c r="AF923" s="1" t="n"/>
      <c r="AG923" s="1" t="n"/>
      <c r="AH923" s="1" t="n"/>
    </row>
    <row r="924" ht="14.2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  <c r="AC924" s="1" t="n"/>
      <c r="AD924" s="1" t="n"/>
      <c r="AE924" s="1" t="n"/>
      <c r="AF924" s="1" t="n"/>
      <c r="AG924" s="1" t="n"/>
      <c r="AH924" s="1" t="n"/>
    </row>
    <row r="925" ht="14.2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  <c r="AC925" s="1" t="n"/>
      <c r="AD925" s="1" t="n"/>
      <c r="AE925" s="1" t="n"/>
      <c r="AF925" s="1" t="n"/>
      <c r="AG925" s="1" t="n"/>
      <c r="AH925" s="1" t="n"/>
    </row>
    <row r="926" ht="14.2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  <c r="AC926" s="1" t="n"/>
      <c r="AD926" s="1" t="n"/>
      <c r="AE926" s="1" t="n"/>
      <c r="AF926" s="1" t="n"/>
      <c r="AG926" s="1" t="n"/>
      <c r="AH926" s="1" t="n"/>
    </row>
    <row r="927" ht="14.2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  <c r="AC927" s="1" t="n"/>
      <c r="AD927" s="1" t="n"/>
      <c r="AE927" s="1" t="n"/>
      <c r="AF927" s="1" t="n"/>
      <c r="AG927" s="1" t="n"/>
      <c r="AH927" s="1" t="n"/>
    </row>
    <row r="928" ht="14.2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  <c r="AC928" s="1" t="n"/>
      <c r="AD928" s="1" t="n"/>
      <c r="AE928" s="1" t="n"/>
      <c r="AF928" s="1" t="n"/>
      <c r="AG928" s="1" t="n"/>
      <c r="AH928" s="1" t="n"/>
    </row>
    <row r="929" ht="14.2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  <c r="AC929" s="1" t="n"/>
      <c r="AD929" s="1" t="n"/>
      <c r="AE929" s="1" t="n"/>
      <c r="AF929" s="1" t="n"/>
      <c r="AG929" s="1" t="n"/>
      <c r="AH929" s="1" t="n"/>
    </row>
    <row r="930" ht="14.2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  <c r="AC930" s="1" t="n"/>
      <c r="AD930" s="1" t="n"/>
      <c r="AE930" s="1" t="n"/>
      <c r="AF930" s="1" t="n"/>
      <c r="AG930" s="1" t="n"/>
      <c r="AH930" s="1" t="n"/>
    </row>
    <row r="931" ht="14.2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  <c r="AC931" s="1" t="n"/>
      <c r="AD931" s="1" t="n"/>
      <c r="AE931" s="1" t="n"/>
      <c r="AF931" s="1" t="n"/>
      <c r="AG931" s="1" t="n"/>
      <c r="AH931" s="1" t="n"/>
    </row>
    <row r="932" ht="14.2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  <c r="AC932" s="1" t="n"/>
      <c r="AD932" s="1" t="n"/>
      <c r="AE932" s="1" t="n"/>
      <c r="AF932" s="1" t="n"/>
      <c r="AG932" s="1" t="n"/>
      <c r="AH932" s="1" t="n"/>
    </row>
    <row r="933" ht="14.2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  <c r="AC933" s="1" t="n"/>
      <c r="AD933" s="1" t="n"/>
      <c r="AE933" s="1" t="n"/>
      <c r="AF933" s="1" t="n"/>
      <c r="AG933" s="1" t="n"/>
      <c r="AH933" s="1" t="n"/>
    </row>
    <row r="934" ht="14.2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  <c r="AC934" s="1" t="n"/>
      <c r="AD934" s="1" t="n"/>
      <c r="AE934" s="1" t="n"/>
      <c r="AF934" s="1" t="n"/>
      <c r="AG934" s="1" t="n"/>
      <c r="AH934" s="1" t="n"/>
    </row>
    <row r="935" ht="14.2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  <c r="AC935" s="1" t="n"/>
      <c r="AD935" s="1" t="n"/>
      <c r="AE935" s="1" t="n"/>
      <c r="AF935" s="1" t="n"/>
      <c r="AG935" s="1" t="n"/>
      <c r="AH935" s="1" t="n"/>
    </row>
    <row r="936" ht="14.2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  <c r="AC936" s="1" t="n"/>
      <c r="AD936" s="1" t="n"/>
      <c r="AE936" s="1" t="n"/>
      <c r="AF936" s="1" t="n"/>
      <c r="AG936" s="1" t="n"/>
      <c r="AH936" s="1" t="n"/>
    </row>
    <row r="937" ht="14.2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  <c r="AC937" s="1" t="n"/>
      <c r="AD937" s="1" t="n"/>
      <c r="AE937" s="1" t="n"/>
      <c r="AF937" s="1" t="n"/>
      <c r="AG937" s="1" t="n"/>
      <c r="AH937" s="1" t="n"/>
    </row>
    <row r="938" ht="14.2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  <c r="AC938" s="1" t="n"/>
      <c r="AD938" s="1" t="n"/>
      <c r="AE938" s="1" t="n"/>
      <c r="AF938" s="1" t="n"/>
      <c r="AG938" s="1" t="n"/>
      <c r="AH938" s="1" t="n"/>
    </row>
    <row r="939" ht="14.2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  <c r="AC939" s="1" t="n"/>
      <c r="AD939" s="1" t="n"/>
      <c r="AE939" s="1" t="n"/>
      <c r="AF939" s="1" t="n"/>
      <c r="AG939" s="1" t="n"/>
      <c r="AH939" s="1" t="n"/>
    </row>
    <row r="940" ht="14.2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  <c r="AC940" s="1" t="n"/>
      <c r="AD940" s="1" t="n"/>
      <c r="AE940" s="1" t="n"/>
      <c r="AF940" s="1" t="n"/>
      <c r="AG940" s="1" t="n"/>
      <c r="AH940" s="1" t="n"/>
    </row>
    <row r="941" ht="14.2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  <c r="AC941" s="1" t="n"/>
      <c r="AD941" s="1" t="n"/>
      <c r="AE941" s="1" t="n"/>
      <c r="AF941" s="1" t="n"/>
      <c r="AG941" s="1" t="n"/>
      <c r="AH941" s="1" t="n"/>
    </row>
    <row r="942" ht="14.2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  <c r="AC942" s="1" t="n"/>
      <c r="AD942" s="1" t="n"/>
      <c r="AE942" s="1" t="n"/>
      <c r="AF942" s="1" t="n"/>
      <c r="AG942" s="1" t="n"/>
      <c r="AH942" s="1" t="n"/>
    </row>
    <row r="943" ht="14.2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  <c r="AC943" s="1" t="n"/>
      <c r="AD943" s="1" t="n"/>
      <c r="AE943" s="1" t="n"/>
      <c r="AF943" s="1" t="n"/>
      <c r="AG943" s="1" t="n"/>
      <c r="AH943" s="1" t="n"/>
    </row>
    <row r="944" ht="14.2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  <c r="AC944" s="1" t="n"/>
      <c r="AD944" s="1" t="n"/>
      <c r="AE944" s="1" t="n"/>
      <c r="AF944" s="1" t="n"/>
      <c r="AG944" s="1" t="n"/>
      <c r="AH944" s="1" t="n"/>
    </row>
    <row r="945" ht="14.2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  <c r="AC945" s="1" t="n"/>
      <c r="AD945" s="1" t="n"/>
      <c r="AE945" s="1" t="n"/>
      <c r="AF945" s="1" t="n"/>
      <c r="AG945" s="1" t="n"/>
      <c r="AH945" s="1" t="n"/>
    </row>
    <row r="946" ht="14.2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  <c r="AC946" s="1" t="n"/>
      <c r="AD946" s="1" t="n"/>
      <c r="AE946" s="1" t="n"/>
      <c r="AF946" s="1" t="n"/>
      <c r="AG946" s="1" t="n"/>
      <c r="AH946" s="1" t="n"/>
    </row>
    <row r="947" ht="14.2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  <c r="AC947" s="1" t="n"/>
      <c r="AD947" s="1" t="n"/>
      <c r="AE947" s="1" t="n"/>
      <c r="AF947" s="1" t="n"/>
      <c r="AG947" s="1" t="n"/>
      <c r="AH947" s="1" t="n"/>
    </row>
    <row r="948" ht="14.2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  <c r="AC948" s="1" t="n"/>
      <c r="AD948" s="1" t="n"/>
      <c r="AE948" s="1" t="n"/>
      <c r="AF948" s="1" t="n"/>
      <c r="AG948" s="1" t="n"/>
      <c r="AH948" s="1" t="n"/>
    </row>
    <row r="949" ht="14.2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  <c r="AC949" s="1" t="n"/>
      <c r="AD949" s="1" t="n"/>
      <c r="AE949" s="1" t="n"/>
      <c r="AF949" s="1" t="n"/>
      <c r="AG949" s="1" t="n"/>
      <c r="AH949" s="1" t="n"/>
    </row>
    <row r="950" ht="14.2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  <c r="AC950" s="1" t="n"/>
      <c r="AD950" s="1" t="n"/>
      <c r="AE950" s="1" t="n"/>
      <c r="AF950" s="1" t="n"/>
      <c r="AG950" s="1" t="n"/>
      <c r="AH950" s="1" t="n"/>
    </row>
    <row r="951" ht="14.2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  <c r="AC951" s="1" t="n"/>
      <c r="AD951" s="1" t="n"/>
      <c r="AE951" s="1" t="n"/>
      <c r="AF951" s="1" t="n"/>
      <c r="AG951" s="1" t="n"/>
      <c r="AH951" s="1" t="n"/>
    </row>
    <row r="952" ht="14.2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  <c r="AC952" s="1" t="n"/>
      <c r="AD952" s="1" t="n"/>
      <c r="AE952" s="1" t="n"/>
      <c r="AF952" s="1" t="n"/>
      <c r="AG952" s="1" t="n"/>
      <c r="AH952" s="1" t="n"/>
    </row>
    <row r="953" ht="14.2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  <c r="AC953" s="1" t="n"/>
      <c r="AD953" s="1" t="n"/>
      <c r="AE953" s="1" t="n"/>
      <c r="AF953" s="1" t="n"/>
      <c r="AG953" s="1" t="n"/>
      <c r="AH953" s="1" t="n"/>
    </row>
    <row r="954" ht="14.2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  <c r="AC954" s="1" t="n"/>
      <c r="AD954" s="1" t="n"/>
      <c r="AE954" s="1" t="n"/>
      <c r="AF954" s="1" t="n"/>
      <c r="AG954" s="1" t="n"/>
      <c r="AH954" s="1" t="n"/>
    </row>
    <row r="955" ht="14.2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  <c r="AC955" s="1" t="n"/>
      <c r="AD955" s="1" t="n"/>
      <c r="AE955" s="1" t="n"/>
      <c r="AF955" s="1" t="n"/>
      <c r="AG955" s="1" t="n"/>
      <c r="AH955" s="1" t="n"/>
    </row>
    <row r="956" ht="14.2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  <c r="AC956" s="1" t="n"/>
      <c r="AD956" s="1" t="n"/>
      <c r="AE956" s="1" t="n"/>
      <c r="AF956" s="1" t="n"/>
      <c r="AG956" s="1" t="n"/>
      <c r="AH956" s="1" t="n"/>
    </row>
    <row r="957" ht="14.2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  <c r="AC957" s="1" t="n"/>
      <c r="AD957" s="1" t="n"/>
      <c r="AE957" s="1" t="n"/>
      <c r="AF957" s="1" t="n"/>
      <c r="AG957" s="1" t="n"/>
      <c r="AH957" s="1" t="n"/>
    </row>
    <row r="958" ht="14.2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  <c r="AC958" s="1" t="n"/>
      <c r="AD958" s="1" t="n"/>
      <c r="AE958" s="1" t="n"/>
      <c r="AF958" s="1" t="n"/>
      <c r="AG958" s="1" t="n"/>
      <c r="AH958" s="1" t="n"/>
    </row>
    <row r="959" ht="14.2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  <c r="AC959" s="1" t="n"/>
      <c r="AD959" s="1" t="n"/>
      <c r="AE959" s="1" t="n"/>
      <c r="AF959" s="1" t="n"/>
      <c r="AG959" s="1" t="n"/>
      <c r="AH959" s="1" t="n"/>
    </row>
    <row r="960" ht="14.2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  <c r="AC960" s="1" t="n"/>
      <c r="AD960" s="1" t="n"/>
      <c r="AE960" s="1" t="n"/>
      <c r="AF960" s="1" t="n"/>
      <c r="AG960" s="1" t="n"/>
      <c r="AH960" s="1" t="n"/>
    </row>
    <row r="961" ht="14.2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  <c r="AC961" s="1" t="n"/>
      <c r="AD961" s="1" t="n"/>
      <c r="AE961" s="1" t="n"/>
      <c r="AF961" s="1" t="n"/>
      <c r="AG961" s="1" t="n"/>
      <c r="AH961" s="1" t="n"/>
    </row>
    <row r="962" ht="14.2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  <c r="AC962" s="1" t="n"/>
      <c r="AD962" s="1" t="n"/>
      <c r="AE962" s="1" t="n"/>
      <c r="AF962" s="1" t="n"/>
      <c r="AG962" s="1" t="n"/>
      <c r="AH962" s="1" t="n"/>
    </row>
    <row r="963" ht="14.2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  <c r="AC963" s="1" t="n"/>
      <c r="AD963" s="1" t="n"/>
      <c r="AE963" s="1" t="n"/>
      <c r="AF963" s="1" t="n"/>
      <c r="AG963" s="1" t="n"/>
      <c r="AH963" s="1" t="n"/>
    </row>
    <row r="964" ht="14.2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  <c r="AC964" s="1" t="n"/>
      <c r="AD964" s="1" t="n"/>
      <c r="AE964" s="1" t="n"/>
      <c r="AF964" s="1" t="n"/>
      <c r="AG964" s="1" t="n"/>
      <c r="AH964" s="1" t="n"/>
    </row>
    <row r="965" ht="14.2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  <c r="AC965" s="1" t="n"/>
      <c r="AD965" s="1" t="n"/>
      <c r="AE965" s="1" t="n"/>
      <c r="AF965" s="1" t="n"/>
      <c r="AG965" s="1" t="n"/>
      <c r="AH965" s="1" t="n"/>
    </row>
    <row r="966" ht="14.2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  <c r="AC966" s="1" t="n"/>
      <c r="AD966" s="1" t="n"/>
      <c r="AE966" s="1" t="n"/>
      <c r="AF966" s="1" t="n"/>
      <c r="AG966" s="1" t="n"/>
      <c r="AH966" s="1" t="n"/>
    </row>
    <row r="967" ht="14.2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  <c r="AC967" s="1" t="n"/>
      <c r="AD967" s="1" t="n"/>
      <c r="AE967" s="1" t="n"/>
      <c r="AF967" s="1" t="n"/>
      <c r="AG967" s="1" t="n"/>
      <c r="AH967" s="1" t="n"/>
    </row>
    <row r="968" ht="14.2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  <c r="AC968" s="1" t="n"/>
      <c r="AD968" s="1" t="n"/>
      <c r="AE968" s="1" t="n"/>
      <c r="AF968" s="1" t="n"/>
      <c r="AG968" s="1" t="n"/>
      <c r="AH968" s="1" t="n"/>
    </row>
    <row r="969" ht="14.2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  <c r="AC969" s="1" t="n"/>
      <c r="AD969" s="1" t="n"/>
      <c r="AE969" s="1" t="n"/>
      <c r="AF969" s="1" t="n"/>
      <c r="AG969" s="1" t="n"/>
      <c r="AH969" s="1" t="n"/>
    </row>
    <row r="970" ht="14.2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  <c r="AC970" s="1" t="n"/>
      <c r="AD970" s="1" t="n"/>
      <c r="AE970" s="1" t="n"/>
      <c r="AF970" s="1" t="n"/>
      <c r="AG970" s="1" t="n"/>
      <c r="AH970" s="1" t="n"/>
    </row>
    <row r="971" ht="14.2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  <c r="AC971" s="1" t="n"/>
      <c r="AD971" s="1" t="n"/>
      <c r="AE971" s="1" t="n"/>
      <c r="AF971" s="1" t="n"/>
      <c r="AG971" s="1" t="n"/>
      <c r="AH971" s="1" t="n"/>
    </row>
    <row r="972" ht="14.2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  <c r="AC972" s="1" t="n"/>
      <c r="AD972" s="1" t="n"/>
      <c r="AE972" s="1" t="n"/>
      <c r="AF972" s="1" t="n"/>
      <c r="AG972" s="1" t="n"/>
      <c r="AH972" s="1" t="n"/>
    </row>
    <row r="973" ht="14.2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  <c r="AC973" s="1" t="n"/>
      <c r="AD973" s="1" t="n"/>
      <c r="AE973" s="1" t="n"/>
      <c r="AF973" s="1" t="n"/>
      <c r="AG973" s="1" t="n"/>
      <c r="AH973" s="1" t="n"/>
    </row>
    <row r="974" ht="14.2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  <c r="AC974" s="1" t="n"/>
      <c r="AD974" s="1" t="n"/>
      <c r="AE974" s="1" t="n"/>
      <c r="AF974" s="1" t="n"/>
      <c r="AG974" s="1" t="n"/>
      <c r="AH974" s="1" t="n"/>
    </row>
    <row r="975" ht="14.2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  <c r="AC975" s="1" t="n"/>
      <c r="AD975" s="1" t="n"/>
      <c r="AE975" s="1" t="n"/>
      <c r="AF975" s="1" t="n"/>
      <c r="AG975" s="1" t="n"/>
      <c r="AH975" s="1" t="n"/>
    </row>
    <row r="976" ht="14.2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  <c r="AC976" s="1" t="n"/>
      <c r="AD976" s="1" t="n"/>
      <c r="AE976" s="1" t="n"/>
      <c r="AF976" s="1" t="n"/>
      <c r="AG976" s="1" t="n"/>
      <c r="AH976" s="1" t="n"/>
    </row>
    <row r="977" ht="14.2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  <c r="AC977" s="1" t="n"/>
      <c r="AD977" s="1" t="n"/>
      <c r="AE977" s="1" t="n"/>
      <c r="AF977" s="1" t="n"/>
      <c r="AG977" s="1" t="n"/>
      <c r="AH977" s="1" t="n"/>
    </row>
    <row r="978" ht="14.2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  <c r="AC978" s="1" t="n"/>
      <c r="AD978" s="1" t="n"/>
      <c r="AE978" s="1" t="n"/>
      <c r="AF978" s="1" t="n"/>
      <c r="AG978" s="1" t="n"/>
      <c r="AH978" s="1" t="n"/>
    </row>
    <row r="979" ht="14.2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  <c r="AC979" s="1" t="n"/>
      <c r="AD979" s="1" t="n"/>
      <c r="AE979" s="1" t="n"/>
      <c r="AF979" s="1" t="n"/>
      <c r="AG979" s="1" t="n"/>
      <c r="AH979" s="1" t="n"/>
    </row>
    <row r="980" ht="14.2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  <c r="AC980" s="1" t="n"/>
      <c r="AD980" s="1" t="n"/>
      <c r="AE980" s="1" t="n"/>
      <c r="AF980" s="1" t="n"/>
      <c r="AG980" s="1" t="n"/>
      <c r="AH980" s="1" t="n"/>
    </row>
    <row r="981" ht="14.2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  <c r="AC981" s="1" t="n"/>
      <c r="AD981" s="1" t="n"/>
      <c r="AE981" s="1" t="n"/>
      <c r="AF981" s="1" t="n"/>
      <c r="AG981" s="1" t="n"/>
      <c r="AH981" s="1" t="n"/>
    </row>
    <row r="982" ht="14.2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  <c r="AC982" s="1" t="n"/>
      <c r="AD982" s="1" t="n"/>
      <c r="AE982" s="1" t="n"/>
      <c r="AF982" s="1" t="n"/>
      <c r="AG982" s="1" t="n"/>
      <c r="AH982" s="1" t="n"/>
    </row>
    <row r="983" ht="14.2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  <c r="AC983" s="1" t="n"/>
      <c r="AD983" s="1" t="n"/>
      <c r="AE983" s="1" t="n"/>
      <c r="AF983" s="1" t="n"/>
      <c r="AG983" s="1" t="n"/>
      <c r="AH983" s="1" t="n"/>
    </row>
    <row r="984" ht="14.2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  <c r="AC984" s="1" t="n"/>
      <c r="AD984" s="1" t="n"/>
      <c r="AE984" s="1" t="n"/>
      <c r="AF984" s="1" t="n"/>
      <c r="AG984" s="1" t="n"/>
      <c r="AH984" s="1" t="n"/>
    </row>
    <row r="985" ht="14.2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  <c r="AC985" s="1" t="n"/>
      <c r="AD985" s="1" t="n"/>
      <c r="AE985" s="1" t="n"/>
      <c r="AF985" s="1" t="n"/>
      <c r="AG985" s="1" t="n"/>
      <c r="AH985" s="1" t="n"/>
    </row>
    <row r="986" ht="14.2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  <c r="AC986" s="1" t="n"/>
      <c r="AD986" s="1" t="n"/>
      <c r="AE986" s="1" t="n"/>
      <c r="AF986" s="1" t="n"/>
      <c r="AG986" s="1" t="n"/>
      <c r="AH986" s="1" t="n"/>
    </row>
    <row r="987" ht="14.2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  <c r="AC987" s="1" t="n"/>
      <c r="AD987" s="1" t="n"/>
      <c r="AE987" s="1" t="n"/>
      <c r="AF987" s="1" t="n"/>
      <c r="AG987" s="1" t="n"/>
      <c r="AH987" s="1" t="n"/>
    </row>
    <row r="988" ht="14.2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  <c r="AC988" s="1" t="n"/>
      <c r="AD988" s="1" t="n"/>
      <c r="AE988" s="1" t="n"/>
      <c r="AF988" s="1" t="n"/>
      <c r="AG988" s="1" t="n"/>
      <c r="AH988" s="1" t="n"/>
    </row>
    <row r="989" ht="14.2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  <c r="AC989" s="1" t="n"/>
      <c r="AD989" s="1" t="n"/>
      <c r="AE989" s="1" t="n"/>
      <c r="AF989" s="1" t="n"/>
      <c r="AG989" s="1" t="n"/>
      <c r="AH989" s="1" t="n"/>
    </row>
    <row r="990" ht="14.2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  <c r="AC990" s="1" t="n"/>
      <c r="AD990" s="1" t="n"/>
      <c r="AE990" s="1" t="n"/>
      <c r="AF990" s="1" t="n"/>
      <c r="AG990" s="1" t="n"/>
      <c r="AH990" s="1" t="n"/>
    </row>
    <row r="991" ht="14.2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  <c r="AC991" s="1" t="n"/>
      <c r="AD991" s="1" t="n"/>
      <c r="AE991" s="1" t="n"/>
      <c r="AF991" s="1" t="n"/>
      <c r="AG991" s="1" t="n"/>
      <c r="AH991" s="1" t="n"/>
    </row>
    <row r="992" ht="14.2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  <c r="AC992" s="1" t="n"/>
      <c r="AD992" s="1" t="n"/>
      <c r="AE992" s="1" t="n"/>
      <c r="AF992" s="1" t="n"/>
      <c r="AG992" s="1" t="n"/>
      <c r="AH992" s="1" t="n"/>
    </row>
    <row r="993" ht="14.2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  <c r="AC993" s="1" t="n"/>
      <c r="AD993" s="1" t="n"/>
      <c r="AE993" s="1" t="n"/>
      <c r="AF993" s="1" t="n"/>
      <c r="AG993" s="1" t="n"/>
      <c r="AH993" s="1" t="n"/>
    </row>
    <row r="994" ht="14.2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  <c r="AC994" s="1" t="n"/>
      <c r="AD994" s="1" t="n"/>
      <c r="AE994" s="1" t="n"/>
      <c r="AF994" s="1" t="n"/>
      <c r="AG994" s="1" t="n"/>
      <c r="AH994" s="1" t="n"/>
    </row>
    <row r="995" ht="14.2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  <c r="AC995" s="1" t="n"/>
      <c r="AD995" s="1" t="n"/>
      <c r="AE995" s="1" t="n"/>
      <c r="AF995" s="1" t="n"/>
      <c r="AG995" s="1" t="n"/>
      <c r="AH995" s="1" t="n"/>
    </row>
    <row r="996" ht="14.2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  <c r="AC996" s="1" t="n"/>
      <c r="AD996" s="1" t="n"/>
      <c r="AE996" s="1" t="n"/>
      <c r="AF996" s="1" t="n"/>
      <c r="AG996" s="1" t="n"/>
      <c r="AH996" s="1" t="n"/>
    </row>
    <row r="997" ht="14.2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  <c r="AC997" s="1" t="n"/>
      <c r="AD997" s="1" t="n"/>
      <c r="AE997" s="1" t="n"/>
      <c r="AF997" s="1" t="n"/>
      <c r="AG997" s="1" t="n"/>
      <c r="AH997" s="1" t="n"/>
    </row>
    <row r="998" ht="14.25" customHeight="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  <c r="AC998" s="1" t="n"/>
      <c r="AD998" s="1" t="n"/>
      <c r="AE998" s="1" t="n"/>
      <c r="AF998" s="1" t="n"/>
      <c r="AG998" s="1" t="n"/>
      <c r="AH998" s="1" t="n"/>
    </row>
    <row r="999" ht="14.25" customHeight="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  <c r="AC999" s="1" t="n"/>
      <c r="AD999" s="1" t="n"/>
      <c r="AE999" s="1" t="n"/>
      <c r="AF999" s="1" t="n"/>
      <c r="AG999" s="1" t="n"/>
      <c r="AH999" s="1" t="n"/>
    </row>
    <row r="1000" ht="14.25" customHeight="1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  <c r="AC1000" s="1" t="n"/>
      <c r="AD1000" s="1" t="n"/>
      <c r="AE1000" s="1" t="n"/>
      <c r="AF1000" s="1" t="n"/>
      <c r="AG1000" s="1" t="n"/>
      <c r="AH1000" s="1" t="n"/>
    </row>
    <row r="1001" ht="14.25" customHeight="1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  <c r="Z1001" s="1" t="n"/>
      <c r="AA1001" s="1" t="n"/>
      <c r="AB1001" s="1" t="n"/>
      <c r="AC1001" s="1" t="n"/>
      <c r="AD1001" s="1" t="n"/>
      <c r="AE1001" s="1" t="n"/>
      <c r="AF1001" s="1" t="n"/>
      <c r="AG1001" s="1" t="n"/>
      <c r="AH1001" s="1" t="n"/>
    </row>
  </sheetData>
  <mergeCells count="8">
    <mergeCell ref="J23:M23"/>
    <mergeCell ref="I17:N18"/>
    <mergeCell ref="J22:M22"/>
    <mergeCell ref="J26:M26"/>
    <mergeCell ref="B5:G6"/>
    <mergeCell ref="I5:N6"/>
    <mergeCell ref="J24:M24"/>
    <mergeCell ref="J25:M25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2F5496"/>
    <outlinePr summaryBelow="1" summaryRight="1"/>
    <pageSetUpPr/>
  </sheetPr>
  <dimension ref="B3:F13"/>
  <sheetViews>
    <sheetView showGridLines="0" workbookViewId="0">
      <selection activeCell="F4" sqref="D4:F9"/>
    </sheetView>
  </sheetViews>
  <sheetFormatPr baseColWidth="10" defaultColWidth="14.453125" defaultRowHeight="15" customHeight="1"/>
  <cols>
    <col width="10.7265625" customWidth="1" min="1" max="2"/>
    <col width="40.453125" customWidth="1" min="3" max="3"/>
    <col width="10.7265625" customWidth="1" min="4" max="26"/>
  </cols>
  <sheetData>
    <row r="1" ht="14.25" customHeight="1"/>
    <row r="2" ht="14.25" customHeight="1"/>
    <row r="3" ht="14.25" customHeight="1">
      <c r="B3" s="39" t="inlineStr">
        <is>
          <t>#</t>
        </is>
      </c>
      <c r="C3" s="40" t="inlineStr">
        <is>
          <t>Productos</t>
        </is>
      </c>
      <c r="D3" s="41" t="inlineStr">
        <is>
          <t>Precio</t>
        </is>
      </c>
      <c r="E3" s="41" t="inlineStr">
        <is>
          <t>C/u directo</t>
        </is>
      </c>
      <c r="F3" s="42" t="inlineStr">
        <is>
          <t>CAC</t>
        </is>
      </c>
    </row>
    <row r="4" ht="14.25" customHeight="1">
      <c r="B4" s="43" t="n">
        <v>1</v>
      </c>
      <c r="C4" s="265" t="inlineStr">
        <is>
          <t>Sistema FV Microcrédito</t>
        </is>
      </c>
      <c r="D4" s="266" t="n">
        <v>112000</v>
      </c>
      <c r="E4" s="266" t="n">
        <v>74000</v>
      </c>
      <c r="F4" s="266" t="n">
        <v>6800</v>
      </c>
    </row>
    <row r="5" ht="14.25" customHeight="1">
      <c r="B5" s="47" t="n">
        <v>2</v>
      </c>
      <c r="C5" s="265" t="inlineStr">
        <is>
          <t>Sistema FV Contado</t>
        </is>
      </c>
      <c r="D5" s="266" t="n">
        <v>99000</v>
      </c>
      <c r="E5" s="266" t="n">
        <v>74000</v>
      </c>
      <c r="F5" s="266" t="n">
        <v>6800</v>
      </c>
    </row>
    <row r="6" ht="14.25" customHeight="1">
      <c r="B6" s="47" t="n">
        <v>3</v>
      </c>
      <c r="C6" s="265" t="inlineStr">
        <is>
          <t>Calentador Solar</t>
        </is>
      </c>
      <c r="D6" s="266" t="n">
        <v>13500</v>
      </c>
      <c r="E6" s="266" t="n">
        <v>7800</v>
      </c>
      <c r="F6" s="266" t="n">
        <v>1500</v>
      </c>
    </row>
    <row r="7" ht="14.25" customHeight="1">
      <c r="B7" s="47" t="n">
        <v>4</v>
      </c>
      <c r="C7" s="44" t="n"/>
      <c r="D7" s="48" t="n"/>
      <c r="E7" s="48" t="n"/>
      <c r="F7" s="49" t="n"/>
    </row>
    <row r="8" ht="14.25" customHeight="1">
      <c r="B8" s="47" t="n">
        <v>5</v>
      </c>
      <c r="C8" s="44" t="n"/>
      <c r="D8" s="48" t="n"/>
      <c r="E8" s="48" t="n"/>
      <c r="F8" s="49" t="n"/>
    </row>
    <row r="9" ht="14.25" customHeight="1">
      <c r="B9" s="47" t="n">
        <v>6</v>
      </c>
      <c r="C9" s="44" t="n"/>
      <c r="D9" s="48" t="n"/>
      <c r="E9" s="48" t="n"/>
      <c r="F9" s="49" t="n"/>
    </row>
    <row r="10" ht="14.25" customHeight="1">
      <c r="B10" s="47" t="n">
        <v>7</v>
      </c>
      <c r="C10" s="44" t="n"/>
      <c r="D10" s="48" t="n"/>
      <c r="E10" s="48" t="n"/>
      <c r="F10" s="49" t="n"/>
    </row>
    <row r="11" ht="14.25" customHeight="1">
      <c r="B11" s="47" t="n">
        <v>8</v>
      </c>
      <c r="C11" s="44" t="n"/>
      <c r="D11" s="48" t="n"/>
      <c r="E11" s="48" t="n"/>
      <c r="F11" s="49" t="n"/>
    </row>
    <row r="12" ht="14.25" customHeight="1">
      <c r="B12" s="47" t="n">
        <v>9</v>
      </c>
      <c r="C12" s="44" t="n"/>
      <c r="D12" s="48" t="n"/>
      <c r="E12" s="48" t="n"/>
      <c r="F12" s="49" t="n"/>
    </row>
    <row r="13" ht="14.25" customHeight="1">
      <c r="B13" s="50" t="n">
        <v>10</v>
      </c>
      <c r="C13" s="51" t="n"/>
      <c r="D13" s="52" t="n"/>
      <c r="E13" s="52" t="n"/>
      <c r="F13" s="53" t="n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C55A11"/>
    <outlinePr summaryBelow="1" summaryRight="1"/>
    <pageSetUpPr/>
  </sheetPr>
  <dimension ref="A2:AC67"/>
  <sheetViews>
    <sheetView showGridLines="0" topLeftCell="A44" workbookViewId="0">
      <selection activeCell="D58" sqref="D58"/>
    </sheetView>
  </sheetViews>
  <sheetFormatPr baseColWidth="10" defaultColWidth="14.453125" defaultRowHeight="15" customHeight="1"/>
  <cols>
    <col width="10.7265625" customWidth="1" min="1" max="2"/>
    <col width="25" customWidth="1" min="3" max="3"/>
    <col outlineLevel="1" width="11.453125" customWidth="1" min="4" max="15"/>
    <col width="10.7265625" customWidth="1" min="16" max="16"/>
    <col outlineLevel="1" width="11.453125" customWidth="1" min="17" max="28"/>
    <col width="11.453125" customWidth="1" min="29" max="29"/>
  </cols>
  <sheetData>
    <row r="1" ht="14.25" customHeight="1"/>
    <row r="2" ht="14.25" customHeight="1">
      <c r="B2" s="54" t="inlineStr">
        <is>
          <t>#</t>
        </is>
      </c>
      <c r="C2" s="55" t="inlineStr">
        <is>
          <t>Ventas en Unidades</t>
        </is>
      </c>
      <c r="D2" s="56" t="inlineStr">
        <is>
          <t>Mes 1</t>
        </is>
      </c>
      <c r="E2" s="55" t="inlineStr">
        <is>
          <t>Mes 2</t>
        </is>
      </c>
      <c r="F2" s="55" t="inlineStr">
        <is>
          <t>Mes 3</t>
        </is>
      </c>
      <c r="G2" s="55" t="inlineStr">
        <is>
          <t>Mes 4</t>
        </is>
      </c>
      <c r="H2" s="55" t="inlineStr">
        <is>
          <t>Mes 5</t>
        </is>
      </c>
      <c r="I2" s="55" t="inlineStr">
        <is>
          <t>Mes 6</t>
        </is>
      </c>
      <c r="J2" s="55" t="inlineStr">
        <is>
          <t>Mes 7</t>
        </is>
      </c>
      <c r="K2" s="55" t="inlineStr">
        <is>
          <t>Mes 8</t>
        </is>
      </c>
      <c r="L2" s="55" t="inlineStr">
        <is>
          <t>Mes 9</t>
        </is>
      </c>
      <c r="M2" s="55" t="inlineStr">
        <is>
          <t>Mes 10</t>
        </is>
      </c>
      <c r="N2" s="55" t="inlineStr">
        <is>
          <t>Mes 11</t>
        </is>
      </c>
      <c r="O2" s="55" t="inlineStr">
        <is>
          <t>Mes 12</t>
        </is>
      </c>
      <c r="P2" s="57" t="inlineStr">
        <is>
          <t>Total</t>
        </is>
      </c>
      <c r="Q2" s="56" t="inlineStr">
        <is>
          <t>Mes 1</t>
        </is>
      </c>
      <c r="R2" s="55" t="inlineStr">
        <is>
          <t>Mes 2</t>
        </is>
      </c>
      <c r="S2" s="55" t="inlineStr">
        <is>
          <t>Mes 3</t>
        </is>
      </c>
      <c r="T2" s="55" t="inlineStr">
        <is>
          <t>Mes 4</t>
        </is>
      </c>
      <c r="U2" s="55" t="inlineStr">
        <is>
          <t>Mes 5</t>
        </is>
      </c>
      <c r="V2" s="55" t="inlineStr">
        <is>
          <t>Mes 6</t>
        </is>
      </c>
      <c r="W2" s="55" t="inlineStr">
        <is>
          <t>Mes 7</t>
        </is>
      </c>
      <c r="X2" s="55" t="inlineStr">
        <is>
          <t>Mes 8</t>
        </is>
      </c>
      <c r="Y2" s="55" t="inlineStr">
        <is>
          <t>Mes 9</t>
        </is>
      </c>
      <c r="Z2" s="55" t="inlineStr">
        <is>
          <t>Mes 10</t>
        </is>
      </c>
      <c r="AA2" s="55" t="inlineStr">
        <is>
          <t>Mes 11</t>
        </is>
      </c>
      <c r="AB2" s="55" t="inlineStr">
        <is>
          <t>Mes 12</t>
        </is>
      </c>
      <c r="AC2" s="57" t="inlineStr">
        <is>
          <t>Total</t>
        </is>
      </c>
    </row>
    <row r="3" ht="14.25" customHeight="1">
      <c r="B3" s="58">
        <f>+'Resumen operativo'!B4</f>
        <v/>
      </c>
      <c r="C3" s="59">
        <f>+IF('Resumen operativo'!C4&lt;&gt;"",'Resumen operativo'!C4,"")</f>
        <v/>
      </c>
      <c r="D3" s="60" t="n">
        <v>1</v>
      </c>
      <c r="E3" s="60" t="n">
        <v>2</v>
      </c>
      <c r="F3" s="60" t="n">
        <v>3</v>
      </c>
      <c r="G3" s="60" t="n">
        <v>4</v>
      </c>
      <c r="H3" s="60" t="n">
        <v>5</v>
      </c>
      <c r="I3" s="60" t="n">
        <v>6</v>
      </c>
      <c r="J3" s="60" t="n">
        <v>7</v>
      </c>
      <c r="K3" s="60" t="n">
        <v>8</v>
      </c>
      <c r="L3" s="60" t="n">
        <v>9</v>
      </c>
      <c r="M3" s="60" t="n">
        <v>10</v>
      </c>
      <c r="N3" s="60" t="n">
        <v>11</v>
      </c>
      <c r="O3" s="60" t="n">
        <v>12</v>
      </c>
      <c r="P3" s="61">
        <f>SUM(D3:O3)</f>
        <v/>
      </c>
      <c r="Q3" s="62" t="n">
        <v>13</v>
      </c>
      <c r="R3" s="62" t="n">
        <v>14</v>
      </c>
      <c r="S3" s="62" t="n">
        <v>15</v>
      </c>
      <c r="T3" s="62" t="n">
        <v>16</v>
      </c>
      <c r="U3" s="62" t="n">
        <v>17</v>
      </c>
      <c r="V3" s="62" t="n">
        <v>18</v>
      </c>
      <c r="W3" s="62" t="n">
        <v>19</v>
      </c>
      <c r="X3" s="62" t="n">
        <v>20</v>
      </c>
      <c r="Y3" s="62" t="n">
        <v>21</v>
      </c>
      <c r="Z3" s="62" t="n">
        <v>22</v>
      </c>
      <c r="AA3" s="62" t="n">
        <v>23</v>
      </c>
      <c r="AB3" s="62" t="n">
        <v>24</v>
      </c>
      <c r="AC3" s="61">
        <f>SUM(Q3:AB3)</f>
        <v/>
      </c>
    </row>
    <row r="4" ht="14.25" customHeight="1">
      <c r="B4" s="47">
        <f>+'Resumen operativo'!B5</f>
        <v/>
      </c>
      <c r="C4" s="44">
        <f>+IF('Resumen operativo'!C5&lt;&gt;"",'Resumen operativo'!C5,"")</f>
        <v/>
      </c>
      <c r="D4" s="63" t="n">
        <v>0</v>
      </c>
      <c r="E4" s="63" t="n">
        <v>1</v>
      </c>
      <c r="F4" s="63" t="n">
        <v>1</v>
      </c>
      <c r="G4" s="63" t="n">
        <v>2</v>
      </c>
      <c r="H4" s="64" t="n">
        <v>2</v>
      </c>
      <c r="I4" s="64" t="n">
        <v>2</v>
      </c>
      <c r="J4" s="64" t="n">
        <v>3</v>
      </c>
      <c r="K4" s="65" t="n">
        <v>3</v>
      </c>
      <c r="L4" s="65" t="n">
        <v>3</v>
      </c>
      <c r="M4" s="65" t="n">
        <v>4</v>
      </c>
      <c r="N4" s="65" t="n">
        <v>4</v>
      </c>
      <c r="O4" s="65" t="n">
        <v>5</v>
      </c>
      <c r="P4" s="66">
        <f>SUM(D4:O4)</f>
        <v/>
      </c>
      <c r="Q4" s="67" t="n">
        <v>5</v>
      </c>
      <c r="R4" s="67" t="n">
        <v>6</v>
      </c>
      <c r="S4" s="67" t="n">
        <v>6</v>
      </c>
      <c r="T4" s="67" t="n">
        <v>7</v>
      </c>
      <c r="U4" s="67" t="n">
        <v>7</v>
      </c>
      <c r="V4" s="67" t="n">
        <v>8</v>
      </c>
      <c r="W4" s="67" t="n">
        <v>8</v>
      </c>
      <c r="X4" s="67" t="n">
        <v>9</v>
      </c>
      <c r="Y4" s="67" t="n">
        <v>9</v>
      </c>
      <c r="Z4" s="67" t="n">
        <v>10</v>
      </c>
      <c r="AA4" s="67" t="n">
        <v>10</v>
      </c>
      <c r="AB4" s="67" t="n">
        <v>11</v>
      </c>
      <c r="AC4" s="66">
        <f>SUM(Q4:AB4)</f>
        <v/>
      </c>
    </row>
    <row r="5" ht="14.25" customHeight="1">
      <c r="B5" s="47">
        <f>+'Resumen operativo'!B6</f>
        <v/>
      </c>
      <c r="C5" s="44">
        <f>+IF('Resumen operativo'!C6&lt;&gt;"",'Resumen operativo'!C6,"")</f>
        <v/>
      </c>
      <c r="D5" s="63" t="n">
        <v>2</v>
      </c>
      <c r="E5" s="63" t="n">
        <v>3</v>
      </c>
      <c r="F5" s="63" t="n">
        <v>4</v>
      </c>
      <c r="G5" s="63" t="n">
        <v>5</v>
      </c>
      <c r="H5" s="64" t="n">
        <v>6</v>
      </c>
      <c r="I5" s="64" t="n">
        <v>7</v>
      </c>
      <c r="J5" s="64" t="n">
        <v>8</v>
      </c>
      <c r="K5" s="65" t="n">
        <v>9</v>
      </c>
      <c r="L5" s="65" t="n">
        <v>10</v>
      </c>
      <c r="M5" s="65" t="n">
        <v>11</v>
      </c>
      <c r="N5" s="65" t="n">
        <v>12</v>
      </c>
      <c r="O5" s="65" t="n">
        <v>13</v>
      </c>
      <c r="P5" s="66">
        <f>SUM(D5:O5)</f>
        <v/>
      </c>
      <c r="Q5" s="67" t="n">
        <v>14</v>
      </c>
      <c r="R5" s="67" t="n">
        <v>15</v>
      </c>
      <c r="S5" s="67" t="n">
        <v>16</v>
      </c>
      <c r="T5" s="67" t="n">
        <v>17</v>
      </c>
      <c r="U5" s="67" t="n">
        <v>18</v>
      </c>
      <c r="V5" s="67" t="n">
        <v>19</v>
      </c>
      <c r="W5" s="67" t="n">
        <v>20</v>
      </c>
      <c r="X5" s="67" t="n">
        <v>21</v>
      </c>
      <c r="Y5" s="67" t="n">
        <v>22</v>
      </c>
      <c r="Z5" s="67" t="n">
        <v>23</v>
      </c>
      <c r="AA5" s="67" t="n">
        <v>24</v>
      </c>
      <c r="AB5" s="67" t="n">
        <v>25</v>
      </c>
      <c r="AC5" s="66">
        <f>SUM(Q5:AB5)</f>
        <v/>
      </c>
    </row>
    <row r="6" ht="14.25" customHeight="1">
      <c r="B6" s="47">
        <f>+'Resumen operativo'!B7</f>
        <v/>
      </c>
      <c r="C6" s="44">
        <f>+IF('Resumen operativo'!C7&lt;&gt;"",'Resumen operativo'!C7,"")</f>
        <v/>
      </c>
      <c r="D6" s="63" t="n"/>
      <c r="E6" s="63" t="n"/>
      <c r="F6" s="63" t="n"/>
      <c r="G6" s="63" t="n"/>
      <c r="H6" s="64" t="n"/>
      <c r="I6" s="64" t="n"/>
      <c r="J6" s="64" t="n"/>
      <c r="K6" s="65" t="n"/>
      <c r="L6" s="65" t="n"/>
      <c r="M6" s="65" t="n"/>
      <c r="N6" s="65" t="n"/>
      <c r="O6" s="65" t="n"/>
      <c r="P6" s="66">
        <f>SUM(D6:O6)</f>
        <v/>
      </c>
      <c r="Q6" s="67" t="n"/>
      <c r="R6" s="67" t="n"/>
      <c r="S6" s="67" t="n"/>
      <c r="T6" s="67" t="n"/>
      <c r="U6" s="67" t="n"/>
      <c r="V6" s="67" t="n"/>
      <c r="W6" s="67" t="n"/>
      <c r="X6" s="67" t="n"/>
      <c r="Y6" s="67" t="n"/>
      <c r="Z6" s="67" t="n"/>
      <c r="AA6" s="67" t="n"/>
      <c r="AB6" s="67" t="n"/>
      <c r="AC6" s="66">
        <f>SUM(Q6:AB6)</f>
        <v/>
      </c>
    </row>
    <row r="7" ht="14.25" customHeight="1">
      <c r="B7" s="47">
        <f>+'Resumen operativo'!B8</f>
        <v/>
      </c>
      <c r="C7" s="44">
        <f>+IF('Resumen operativo'!C8&lt;&gt;"",'Resumen operativo'!C8,"")</f>
        <v/>
      </c>
      <c r="D7" s="63" t="n"/>
      <c r="E7" s="63" t="n"/>
      <c r="F7" s="63" t="n"/>
      <c r="G7" s="63" t="n"/>
      <c r="H7" s="64" t="n"/>
      <c r="I7" s="64" t="n"/>
      <c r="J7" s="64" t="n"/>
      <c r="K7" s="65" t="n"/>
      <c r="L7" s="65" t="n"/>
      <c r="M7" s="65" t="n"/>
      <c r="N7" s="65" t="n"/>
      <c r="O7" s="65" t="n"/>
      <c r="P7" s="66">
        <f>SUM(D7:O7)</f>
        <v/>
      </c>
      <c r="Q7" s="67" t="n"/>
      <c r="R7" s="67" t="n"/>
      <c r="S7" s="67" t="n"/>
      <c r="T7" s="67" t="n"/>
      <c r="U7" s="67" t="n"/>
      <c r="V7" s="67" t="n"/>
      <c r="W7" s="67" t="n"/>
      <c r="X7" s="67" t="n"/>
      <c r="Y7" s="67" t="n"/>
      <c r="Z7" s="67" t="n"/>
      <c r="AA7" s="67" t="n"/>
      <c r="AB7" s="67" t="n"/>
      <c r="AC7" s="66">
        <f>SUM(Q7:AB7)</f>
        <v/>
      </c>
    </row>
    <row r="8" ht="14.25" customHeight="1">
      <c r="B8" s="47">
        <f>+'Resumen operativo'!B9</f>
        <v/>
      </c>
      <c r="C8" s="44">
        <f>+IF('Resumen operativo'!C9&lt;&gt;"",'Resumen operativo'!C9,"")</f>
        <v/>
      </c>
      <c r="D8" s="63" t="n"/>
      <c r="E8" s="63" t="n"/>
      <c r="F8" s="63" t="n"/>
      <c r="G8" s="63" t="n"/>
      <c r="H8" s="64" t="n"/>
      <c r="I8" s="64" t="n"/>
      <c r="J8" s="64" t="n"/>
      <c r="K8" s="65" t="n"/>
      <c r="L8" s="65" t="n"/>
      <c r="M8" s="65" t="n"/>
      <c r="N8" s="65" t="n"/>
      <c r="O8" s="65" t="n"/>
      <c r="P8" s="66">
        <f>SUM(D8:O8)</f>
        <v/>
      </c>
      <c r="Q8" s="67" t="n"/>
      <c r="R8" s="67" t="n"/>
      <c r="S8" s="67" t="n"/>
      <c r="T8" s="67" t="n"/>
      <c r="U8" s="67" t="n"/>
      <c r="V8" s="67" t="n"/>
      <c r="W8" s="67" t="n"/>
      <c r="X8" s="67" t="n"/>
      <c r="Y8" s="67" t="n"/>
      <c r="Z8" s="67" t="n"/>
      <c r="AA8" s="67" t="n"/>
      <c r="AB8" s="67" t="n"/>
      <c r="AC8" s="66">
        <f>SUM(Q8:AB8)</f>
        <v/>
      </c>
    </row>
    <row r="9" ht="14.25" customHeight="1">
      <c r="B9" s="47">
        <f>+'Resumen operativo'!B10</f>
        <v/>
      </c>
      <c r="C9" s="44">
        <f>+IF('Resumen operativo'!C10&lt;&gt;"",'Resumen operativo'!C10,"")</f>
        <v/>
      </c>
      <c r="D9" s="63" t="n"/>
      <c r="E9" s="63" t="n"/>
      <c r="F9" s="63" t="n"/>
      <c r="G9" s="63" t="n"/>
      <c r="H9" s="63" t="n"/>
      <c r="I9" s="63" t="n"/>
      <c r="J9" s="63" t="n"/>
      <c r="K9" s="68" t="n"/>
      <c r="L9" s="68" t="n"/>
      <c r="M9" s="68" t="n"/>
      <c r="N9" s="68" t="n"/>
      <c r="O9" s="68" t="n"/>
      <c r="P9" s="66">
        <f>SUM(D9:O9)</f>
        <v/>
      </c>
      <c r="Q9" s="67" t="n"/>
      <c r="R9" s="67" t="n"/>
      <c r="S9" s="67" t="n"/>
      <c r="T9" s="67" t="n"/>
      <c r="U9" s="67" t="n"/>
      <c r="V9" s="67" t="n"/>
      <c r="W9" s="67" t="n"/>
      <c r="X9" s="67" t="n"/>
      <c r="Y9" s="67" t="n"/>
      <c r="Z9" s="67" t="n"/>
      <c r="AA9" s="67" t="n"/>
      <c r="AB9" s="67" t="n"/>
      <c r="AC9" s="66">
        <f>SUM(Q9:AB9)</f>
        <v/>
      </c>
    </row>
    <row r="10" ht="14.25" customHeight="1">
      <c r="B10" s="47">
        <f>+'Resumen operativo'!B11</f>
        <v/>
      </c>
      <c r="C10" s="44">
        <f>+IF('Resumen operativo'!C11&lt;&gt;"",'Resumen operativo'!C11,"")</f>
        <v/>
      </c>
      <c r="D10" s="63" t="n"/>
      <c r="E10" s="63" t="n"/>
      <c r="F10" s="63" t="n"/>
      <c r="G10" s="63" t="n"/>
      <c r="H10" s="63" t="n"/>
      <c r="I10" s="63" t="n"/>
      <c r="J10" s="63" t="n"/>
      <c r="K10" s="68" t="n"/>
      <c r="L10" s="68" t="n"/>
      <c r="M10" s="68" t="n"/>
      <c r="N10" s="68" t="n"/>
      <c r="O10" s="68" t="n"/>
      <c r="P10" s="66">
        <f>SUM(D10:O10)</f>
        <v/>
      </c>
      <c r="Q10" s="67" t="n"/>
      <c r="R10" s="67" t="n"/>
      <c r="S10" s="67" t="n"/>
      <c r="T10" s="67" t="n"/>
      <c r="U10" s="67" t="n"/>
      <c r="V10" s="67" t="n"/>
      <c r="W10" s="67" t="n"/>
      <c r="X10" s="67" t="n"/>
      <c r="Y10" s="67" t="n"/>
      <c r="Z10" s="67" t="n"/>
      <c r="AA10" s="67" t="n"/>
      <c r="AB10" s="67" t="n"/>
      <c r="AC10" s="66">
        <f>SUM(Q10:AB10)</f>
        <v/>
      </c>
    </row>
    <row r="11" ht="14.25" customHeight="1">
      <c r="B11" s="47">
        <f>+'Resumen operativo'!B12</f>
        <v/>
      </c>
      <c r="C11" s="44">
        <f>+IF('Resumen operativo'!C12&lt;&gt;"",'Resumen operativo'!C12,"")</f>
        <v/>
      </c>
      <c r="D11" s="63" t="n"/>
      <c r="E11" s="63" t="n"/>
      <c r="F11" s="63" t="n"/>
      <c r="G11" s="63" t="n"/>
      <c r="H11" s="63" t="n"/>
      <c r="I11" s="63" t="n"/>
      <c r="J11" s="63" t="n"/>
      <c r="K11" s="68" t="n"/>
      <c r="L11" s="68" t="n"/>
      <c r="M11" s="68" t="n"/>
      <c r="N11" s="68" t="n"/>
      <c r="O11" s="68" t="n"/>
      <c r="P11" s="66">
        <f>SUM(D11:O11)</f>
        <v/>
      </c>
      <c r="Q11" s="67" t="n"/>
      <c r="R11" s="67" t="n"/>
      <c r="S11" s="67" t="n"/>
      <c r="T11" s="67" t="n"/>
      <c r="U11" s="67" t="n"/>
      <c r="V11" s="67" t="n"/>
      <c r="W11" s="67" t="n"/>
      <c r="X11" s="67" t="n"/>
      <c r="Y11" s="67" t="n"/>
      <c r="Z11" s="67" t="n"/>
      <c r="AA11" s="67" t="n"/>
      <c r="AB11" s="67" t="n"/>
      <c r="AC11" s="66">
        <f>SUM(Q11:AB11)</f>
        <v/>
      </c>
    </row>
    <row r="12" ht="14.25" customHeight="1">
      <c r="B12" s="50">
        <f>+'Resumen operativo'!B13</f>
        <v/>
      </c>
      <c r="C12" s="51">
        <f>+IF('Resumen operativo'!C13&lt;&gt;"",'Resumen operativo'!C13,"")</f>
        <v/>
      </c>
      <c r="D12" s="69" t="n"/>
      <c r="E12" s="69" t="n"/>
      <c r="F12" s="69" t="n"/>
      <c r="G12" s="69" t="n"/>
      <c r="H12" s="69" t="n"/>
      <c r="I12" s="69" t="n"/>
      <c r="J12" s="69" t="n"/>
      <c r="K12" s="70" t="n"/>
      <c r="L12" s="70" t="n"/>
      <c r="M12" s="70" t="n"/>
      <c r="N12" s="70" t="n"/>
      <c r="O12" s="70" t="n"/>
      <c r="P12" s="71">
        <f>SUM(D12:O12)</f>
        <v/>
      </c>
      <c r="Q12" s="72" t="n"/>
      <c r="R12" s="72" t="n"/>
      <c r="S12" s="72" t="n"/>
      <c r="T12" s="72" t="n"/>
      <c r="U12" s="72" t="n"/>
      <c r="V12" s="72" t="n"/>
      <c r="W12" s="72" t="n"/>
      <c r="X12" s="72" t="n"/>
      <c r="Y12" s="72" t="n"/>
      <c r="Z12" s="72" t="n"/>
      <c r="AA12" s="72" t="n"/>
      <c r="AB12" s="72" t="n"/>
      <c r="AC12" s="71">
        <f>SUM(Q12:AB12)</f>
        <v/>
      </c>
    </row>
    <row r="13" ht="14.25" customHeight="1">
      <c r="A13" s="73" t="n"/>
      <c r="B13" s="74" t="n"/>
      <c r="C13" s="75" t="inlineStr">
        <is>
          <t>Total</t>
        </is>
      </c>
      <c r="D13" s="76">
        <f>SUM(D3:D12)</f>
        <v/>
      </c>
      <c r="E13" s="76">
        <f>SUM(E3:E12)</f>
        <v/>
      </c>
      <c r="F13" s="76">
        <f>SUM(F3:F12)</f>
        <v/>
      </c>
      <c r="G13" s="76">
        <f>SUM(G3:G12)</f>
        <v/>
      </c>
      <c r="H13" s="76">
        <f>SUM(H3:H12)</f>
        <v/>
      </c>
      <c r="I13" s="76">
        <f>SUM(I3:I12)</f>
        <v/>
      </c>
      <c r="J13" s="76">
        <f>SUM(J3:J12)</f>
        <v/>
      </c>
      <c r="K13" s="76">
        <f>SUM(K3:K12)</f>
        <v/>
      </c>
      <c r="L13" s="76">
        <f>SUM(L3:L12)</f>
        <v/>
      </c>
      <c r="M13" s="76">
        <f>SUM(M3:M12)</f>
        <v/>
      </c>
      <c r="N13" s="76">
        <f>SUM(N3:N12)</f>
        <v/>
      </c>
      <c r="O13" s="76">
        <f>SUM(O3:O12)</f>
        <v/>
      </c>
      <c r="P13" s="77">
        <f>SUM(P3:P12)</f>
        <v/>
      </c>
      <c r="Q13" s="78">
        <f>SUM(Q3:Q12)</f>
        <v/>
      </c>
      <c r="R13" s="78">
        <f>SUM(R3:R12)</f>
        <v/>
      </c>
      <c r="S13" s="78">
        <f>SUM(S3:S12)</f>
        <v/>
      </c>
      <c r="T13" s="78">
        <f>SUM(T3:T12)</f>
        <v/>
      </c>
      <c r="U13" s="78">
        <f>SUM(U3:U12)</f>
        <v/>
      </c>
      <c r="V13" s="78">
        <f>SUM(V3:V12)</f>
        <v/>
      </c>
      <c r="W13" s="78">
        <f>SUM(W3:W12)</f>
        <v/>
      </c>
      <c r="X13" s="78">
        <f>SUM(X3:X12)</f>
        <v/>
      </c>
      <c r="Y13" s="78">
        <f>SUM(Y3:Y12)</f>
        <v/>
      </c>
      <c r="Z13" s="78">
        <f>SUM(Z3:Z12)</f>
        <v/>
      </c>
      <c r="AA13" s="78">
        <f>SUM(AA3:AA12)</f>
        <v/>
      </c>
      <c r="AB13" s="78">
        <f>SUM(AB3:AB12)</f>
        <v/>
      </c>
      <c r="AC13" s="77">
        <f>SUM(AC3:AC12)</f>
        <v/>
      </c>
    </row>
    <row r="14" ht="14.25" customHeight="1"/>
    <row r="15" ht="14.25" customHeight="1">
      <c r="B15" s="54" t="inlineStr">
        <is>
          <t>#</t>
        </is>
      </c>
      <c r="C15" s="55" t="inlineStr">
        <is>
          <t xml:space="preserve">Ventas en $ </t>
        </is>
      </c>
      <c r="D15" s="56" t="n">
        <v>1</v>
      </c>
      <c r="E15" s="56" t="n">
        <v>2</v>
      </c>
      <c r="F15" s="56" t="n">
        <v>3</v>
      </c>
      <c r="G15" s="56" t="n">
        <v>4</v>
      </c>
      <c r="H15" s="56" t="n">
        <v>5</v>
      </c>
      <c r="I15" s="56" t="n">
        <v>6</v>
      </c>
      <c r="J15" s="56" t="n">
        <v>7</v>
      </c>
      <c r="K15" s="56" t="n">
        <v>8</v>
      </c>
      <c r="L15" s="56" t="n">
        <v>9</v>
      </c>
      <c r="M15" s="56" t="n">
        <v>10</v>
      </c>
      <c r="N15" s="56" t="n">
        <v>11</v>
      </c>
      <c r="O15" s="56" t="n">
        <v>12</v>
      </c>
      <c r="P15" s="57" t="inlineStr">
        <is>
          <t>Total</t>
        </is>
      </c>
      <c r="Q15" s="56" t="n">
        <v>1</v>
      </c>
      <c r="R15" s="56" t="n">
        <v>2</v>
      </c>
      <c r="S15" s="56" t="n">
        <v>3</v>
      </c>
      <c r="T15" s="56" t="n">
        <v>4</v>
      </c>
      <c r="U15" s="56" t="n">
        <v>5</v>
      </c>
      <c r="V15" s="56" t="n">
        <v>6</v>
      </c>
      <c r="W15" s="56" t="n">
        <v>7</v>
      </c>
      <c r="X15" s="56" t="n">
        <v>8</v>
      </c>
      <c r="Y15" s="56" t="n">
        <v>9</v>
      </c>
      <c r="Z15" s="56" t="n">
        <v>10</v>
      </c>
      <c r="AA15" s="56" t="n">
        <v>11</v>
      </c>
      <c r="AB15" s="56" t="n">
        <v>12</v>
      </c>
      <c r="AC15" s="57" t="inlineStr">
        <is>
          <t>Total</t>
        </is>
      </c>
    </row>
    <row r="16" ht="14.25" customHeight="1">
      <c r="B16" s="79" t="n">
        <v>1</v>
      </c>
      <c r="C16" s="44">
        <f>+IF(C3&lt;&gt;"",C3,"")</f>
        <v/>
      </c>
      <c r="D16" s="45">
        <f>+D3*'Resumen operativo'!$D4</f>
        <v/>
      </c>
      <c r="E16" s="45">
        <f>+E3*'Resumen operativo'!$D4</f>
        <v/>
      </c>
      <c r="F16" s="45">
        <f>+F3*'Resumen operativo'!$D4</f>
        <v/>
      </c>
      <c r="G16" s="45">
        <f>+G3*'Resumen operativo'!$D4</f>
        <v/>
      </c>
      <c r="H16" s="45">
        <f>+H3*'Resumen operativo'!$D4</f>
        <v/>
      </c>
      <c r="I16" s="45">
        <f>+I3*'Resumen operativo'!$D4</f>
        <v/>
      </c>
      <c r="J16" s="45">
        <f>+J3*'Resumen operativo'!$D4</f>
        <v/>
      </c>
      <c r="K16" s="45">
        <f>+K3*'Resumen operativo'!$D4</f>
        <v/>
      </c>
      <c r="L16" s="45">
        <f>+L3*'Resumen operativo'!$D4</f>
        <v/>
      </c>
      <c r="M16" s="45">
        <f>+M3*'Resumen operativo'!$D4</f>
        <v/>
      </c>
      <c r="N16" s="45">
        <f>+N3*'Resumen operativo'!$D4</f>
        <v/>
      </c>
      <c r="O16" s="45">
        <f>+O3*'Resumen operativo'!$D4</f>
        <v/>
      </c>
      <c r="P16" s="80">
        <f>SUM(D16:O16)</f>
        <v/>
      </c>
      <c r="Q16" s="45">
        <f>+Q3*'Resumen operativo'!$D4</f>
        <v/>
      </c>
      <c r="R16" s="45">
        <f>+R3*'Resumen operativo'!$D4</f>
        <v/>
      </c>
      <c r="S16" s="45">
        <f>+S3*'Resumen operativo'!$D4</f>
        <v/>
      </c>
      <c r="T16" s="45">
        <f>+T3*'Resumen operativo'!$D4</f>
        <v/>
      </c>
      <c r="U16" s="45">
        <f>+U3*'Resumen operativo'!$D4</f>
        <v/>
      </c>
      <c r="V16" s="45">
        <f>+V3*'Resumen operativo'!$D4</f>
        <v/>
      </c>
      <c r="W16" s="45">
        <f>+W3*'Resumen operativo'!$D4</f>
        <v/>
      </c>
      <c r="X16" s="45">
        <f>+X3*'Resumen operativo'!$D4</f>
        <v/>
      </c>
      <c r="Y16" s="45">
        <f>+Y3*'Resumen operativo'!$D4</f>
        <v/>
      </c>
      <c r="Z16" s="45">
        <f>+Z3*'Resumen operativo'!$D4</f>
        <v/>
      </c>
      <c r="AA16" s="45">
        <f>+AA3*'Resumen operativo'!$D4</f>
        <v/>
      </c>
      <c r="AB16" s="45">
        <f>+AB3*'Resumen operativo'!$D4</f>
        <v/>
      </c>
      <c r="AC16" s="80">
        <f>SUM(Q16:AB16)</f>
        <v/>
      </c>
    </row>
    <row r="17" ht="14.25" customHeight="1">
      <c r="B17" s="81" t="n">
        <v>2</v>
      </c>
      <c r="C17" s="44">
        <f>+IF(C4&lt;&gt;"",C4,"")</f>
        <v/>
      </c>
      <c r="D17" s="45">
        <f>+D4*'Resumen operativo'!$D5</f>
        <v/>
      </c>
      <c r="E17" s="45">
        <f>+E4*'Resumen operativo'!$D5</f>
        <v/>
      </c>
      <c r="F17" s="45">
        <f>+F4*'Resumen operativo'!$D5</f>
        <v/>
      </c>
      <c r="G17" s="45">
        <f>+G4*'Resumen operativo'!$D5</f>
        <v/>
      </c>
      <c r="H17" s="45">
        <f>+H4*'Resumen operativo'!$D5</f>
        <v/>
      </c>
      <c r="I17" s="45">
        <f>+I4*'Resumen operativo'!$D5</f>
        <v/>
      </c>
      <c r="J17" s="45">
        <f>+J4*'Resumen operativo'!$D5</f>
        <v/>
      </c>
      <c r="K17" s="45">
        <f>+K4*'Resumen operativo'!$D5</f>
        <v/>
      </c>
      <c r="L17" s="45">
        <f>+L4*'Resumen operativo'!$D5</f>
        <v/>
      </c>
      <c r="M17" s="45">
        <f>+M4*'Resumen operativo'!$D5</f>
        <v/>
      </c>
      <c r="N17" s="45">
        <f>+N4*'Resumen operativo'!$D5</f>
        <v/>
      </c>
      <c r="O17" s="45">
        <f>+O4*'Resumen operativo'!$D5</f>
        <v/>
      </c>
      <c r="P17" s="80">
        <f>SUM(D17:O17)</f>
        <v/>
      </c>
      <c r="Q17" s="45">
        <f>+Q4*'Resumen operativo'!$D5</f>
        <v/>
      </c>
      <c r="R17" s="45">
        <f>+R4*'Resumen operativo'!$D5</f>
        <v/>
      </c>
      <c r="S17" s="45">
        <f>+S4*'Resumen operativo'!$D5</f>
        <v/>
      </c>
      <c r="T17" s="45">
        <f>+T4*'Resumen operativo'!$D5</f>
        <v/>
      </c>
      <c r="U17" s="45">
        <f>+U4*'Resumen operativo'!$D5</f>
        <v/>
      </c>
      <c r="V17" s="45">
        <f>+V4*'Resumen operativo'!$D5</f>
        <v/>
      </c>
      <c r="W17" s="45">
        <f>+W4*'Resumen operativo'!$D5</f>
        <v/>
      </c>
      <c r="X17" s="45">
        <f>+X4*'Resumen operativo'!$D5</f>
        <v/>
      </c>
      <c r="Y17" s="45">
        <f>+Y4*'Resumen operativo'!$D5</f>
        <v/>
      </c>
      <c r="Z17" s="45">
        <f>+Z4*'Resumen operativo'!$D5</f>
        <v/>
      </c>
      <c r="AA17" s="45">
        <f>+AA4*'Resumen operativo'!$D5</f>
        <v/>
      </c>
      <c r="AB17" s="45">
        <f>+AB4*'Resumen operativo'!$D5</f>
        <v/>
      </c>
      <c r="AC17" s="80">
        <f>SUM(Q17:AB17)</f>
        <v/>
      </c>
    </row>
    <row r="18" ht="14.25" customHeight="1">
      <c r="B18" s="81" t="n">
        <v>3</v>
      </c>
      <c r="C18" s="44">
        <f>+IF(C5&lt;&gt;"",C5,"")</f>
        <v/>
      </c>
      <c r="D18" s="45">
        <f>+D5*'Resumen operativo'!$D6</f>
        <v/>
      </c>
      <c r="E18" s="45">
        <f>+E5*'Resumen operativo'!$D6</f>
        <v/>
      </c>
      <c r="F18" s="45">
        <f>+F5*'Resumen operativo'!$D6</f>
        <v/>
      </c>
      <c r="G18" s="45">
        <f>+G5*'Resumen operativo'!$D6</f>
        <v/>
      </c>
      <c r="H18" s="45">
        <f>+H5*'Resumen operativo'!$D6</f>
        <v/>
      </c>
      <c r="I18" s="45">
        <f>+I5*'Resumen operativo'!$D6</f>
        <v/>
      </c>
      <c r="J18" s="45">
        <f>+J5*'Resumen operativo'!$D6</f>
        <v/>
      </c>
      <c r="K18" s="45">
        <f>+K5*'Resumen operativo'!$D6</f>
        <v/>
      </c>
      <c r="L18" s="45">
        <f>+L5*'Resumen operativo'!$D6</f>
        <v/>
      </c>
      <c r="M18" s="45">
        <f>+M5*'Resumen operativo'!$D6</f>
        <v/>
      </c>
      <c r="N18" s="45">
        <f>+N5*'Resumen operativo'!$D6</f>
        <v/>
      </c>
      <c r="O18" s="45">
        <f>+O5*'Resumen operativo'!$D6</f>
        <v/>
      </c>
      <c r="P18" s="80">
        <f>SUM(D18:O18)</f>
        <v/>
      </c>
      <c r="Q18" s="45">
        <f>+Q5*'Resumen operativo'!$D6</f>
        <v/>
      </c>
      <c r="R18" s="45">
        <f>+R5*'Resumen operativo'!$D6</f>
        <v/>
      </c>
      <c r="S18" s="45">
        <f>+S5*'Resumen operativo'!$D6</f>
        <v/>
      </c>
      <c r="T18" s="45">
        <f>+T5*'Resumen operativo'!$D6</f>
        <v/>
      </c>
      <c r="U18" s="45">
        <f>+U5*'Resumen operativo'!$D6</f>
        <v/>
      </c>
      <c r="V18" s="45">
        <f>+V5*'Resumen operativo'!$D6</f>
        <v/>
      </c>
      <c r="W18" s="45">
        <f>+W5*'Resumen operativo'!$D6</f>
        <v/>
      </c>
      <c r="X18" s="45">
        <f>+X5*'Resumen operativo'!$D6</f>
        <v/>
      </c>
      <c r="Y18" s="45">
        <f>+Y5*'Resumen operativo'!$D6</f>
        <v/>
      </c>
      <c r="Z18" s="45">
        <f>+Z5*'Resumen operativo'!$D6</f>
        <v/>
      </c>
      <c r="AA18" s="45">
        <f>+AA5*'Resumen operativo'!$D6</f>
        <v/>
      </c>
      <c r="AB18" s="45">
        <f>+AB5*'Resumen operativo'!$D6</f>
        <v/>
      </c>
      <c r="AC18" s="80">
        <f>SUM(Q18:AB18)</f>
        <v/>
      </c>
    </row>
    <row r="19" ht="14.25" customHeight="1">
      <c r="B19" s="81" t="n">
        <v>4</v>
      </c>
      <c r="C19" s="44">
        <f>+IF(C6&lt;&gt;"",C6,"")</f>
        <v/>
      </c>
      <c r="D19" s="45">
        <f>+D6*'Resumen operativo'!$D7</f>
        <v/>
      </c>
      <c r="E19" s="45">
        <f>+E6*'Resumen operativo'!$D7</f>
        <v/>
      </c>
      <c r="F19" s="45">
        <f>+F6*'Resumen operativo'!$D7</f>
        <v/>
      </c>
      <c r="G19" s="45">
        <f>+G6*'Resumen operativo'!$D7</f>
        <v/>
      </c>
      <c r="H19" s="45">
        <f>+H6*'Resumen operativo'!$D7</f>
        <v/>
      </c>
      <c r="I19" s="45">
        <f>+I6*'Resumen operativo'!$D7</f>
        <v/>
      </c>
      <c r="J19" s="45">
        <f>+J6*'Resumen operativo'!$D7</f>
        <v/>
      </c>
      <c r="K19" s="45">
        <f>+K6*'Resumen operativo'!$D7</f>
        <v/>
      </c>
      <c r="L19" s="45">
        <f>+L6*'Resumen operativo'!$D7</f>
        <v/>
      </c>
      <c r="M19" s="45">
        <f>+M6*'Resumen operativo'!$D7</f>
        <v/>
      </c>
      <c r="N19" s="45">
        <f>+N6*'Resumen operativo'!$D7</f>
        <v/>
      </c>
      <c r="O19" s="45">
        <f>+O6*'Resumen operativo'!$D7</f>
        <v/>
      </c>
      <c r="P19" s="80">
        <f>SUM(D19:O19)</f>
        <v/>
      </c>
      <c r="Q19" s="45">
        <f>+Q6*'Resumen operativo'!$D7</f>
        <v/>
      </c>
      <c r="R19" s="45">
        <f>+R6*'Resumen operativo'!$D7</f>
        <v/>
      </c>
      <c r="S19" s="45">
        <f>+S6*'Resumen operativo'!$D7</f>
        <v/>
      </c>
      <c r="T19" s="45">
        <f>+T6*'Resumen operativo'!$D7</f>
        <v/>
      </c>
      <c r="U19" s="45">
        <f>+U6*'Resumen operativo'!$D7</f>
        <v/>
      </c>
      <c r="V19" s="45">
        <f>+V6*'Resumen operativo'!$D7</f>
        <v/>
      </c>
      <c r="W19" s="45">
        <f>+W6*'Resumen operativo'!$D7</f>
        <v/>
      </c>
      <c r="X19" s="45">
        <f>+X6*'Resumen operativo'!$D7</f>
        <v/>
      </c>
      <c r="Y19" s="45">
        <f>+Y6*'Resumen operativo'!$D7</f>
        <v/>
      </c>
      <c r="Z19" s="45">
        <f>+Z6*'Resumen operativo'!$D7</f>
        <v/>
      </c>
      <c r="AA19" s="45">
        <f>+AA6*'Resumen operativo'!$D7</f>
        <v/>
      </c>
      <c r="AB19" s="45">
        <f>+AB6*'Resumen operativo'!$D7</f>
        <v/>
      </c>
      <c r="AC19" s="80">
        <f>SUM(Q19:AB19)</f>
        <v/>
      </c>
    </row>
    <row r="20" ht="14.25" customHeight="1">
      <c r="B20" s="81" t="n">
        <v>5</v>
      </c>
      <c r="C20" s="44">
        <f>+IF(C7&lt;&gt;"",C7,"")</f>
        <v/>
      </c>
      <c r="D20" s="45">
        <f>+D7*'Resumen operativo'!$D8</f>
        <v/>
      </c>
      <c r="E20" s="45">
        <f>+E7*'Resumen operativo'!$D8</f>
        <v/>
      </c>
      <c r="F20" s="45">
        <f>+F7*'Resumen operativo'!$D8</f>
        <v/>
      </c>
      <c r="G20" s="45">
        <f>+G7*'Resumen operativo'!$D8</f>
        <v/>
      </c>
      <c r="H20" s="45">
        <f>+H7*'Resumen operativo'!$D8</f>
        <v/>
      </c>
      <c r="I20" s="45">
        <f>+I7*'Resumen operativo'!$D8</f>
        <v/>
      </c>
      <c r="J20" s="45">
        <f>+J7*'Resumen operativo'!$D8</f>
        <v/>
      </c>
      <c r="K20" s="45">
        <f>+K7*'Resumen operativo'!$D8</f>
        <v/>
      </c>
      <c r="L20" s="45">
        <f>+L7*'Resumen operativo'!$D8</f>
        <v/>
      </c>
      <c r="M20" s="45">
        <f>+M7*'Resumen operativo'!$D8</f>
        <v/>
      </c>
      <c r="N20" s="45">
        <f>+N7*'Resumen operativo'!$D8</f>
        <v/>
      </c>
      <c r="O20" s="45">
        <f>+O7*'Resumen operativo'!$D8</f>
        <v/>
      </c>
      <c r="P20" s="80">
        <f>SUM(D20:O20)</f>
        <v/>
      </c>
      <c r="Q20" s="45">
        <f>+Q7*'Resumen operativo'!$D8</f>
        <v/>
      </c>
      <c r="R20" s="45">
        <f>+R7*'Resumen operativo'!$D8</f>
        <v/>
      </c>
      <c r="S20" s="45">
        <f>+S7*'Resumen operativo'!$D8</f>
        <v/>
      </c>
      <c r="T20" s="45">
        <f>+T7*'Resumen operativo'!$D8</f>
        <v/>
      </c>
      <c r="U20" s="45">
        <f>+U7*'Resumen operativo'!$D8</f>
        <v/>
      </c>
      <c r="V20" s="45">
        <f>+V7*'Resumen operativo'!$D8</f>
        <v/>
      </c>
      <c r="W20" s="45">
        <f>+W7*'Resumen operativo'!$D8</f>
        <v/>
      </c>
      <c r="X20" s="45">
        <f>+X7*'Resumen operativo'!$D8</f>
        <v/>
      </c>
      <c r="Y20" s="45">
        <f>+Y7*'Resumen operativo'!$D8</f>
        <v/>
      </c>
      <c r="Z20" s="45">
        <f>+Z7*'Resumen operativo'!$D8</f>
        <v/>
      </c>
      <c r="AA20" s="45">
        <f>+AA7*'Resumen operativo'!$D8</f>
        <v/>
      </c>
      <c r="AB20" s="45">
        <f>+AB7*'Resumen operativo'!$D8</f>
        <v/>
      </c>
      <c r="AC20" s="80">
        <f>SUM(Q20:AB20)</f>
        <v/>
      </c>
    </row>
    <row r="21" ht="14.25" customHeight="1">
      <c r="B21" s="81" t="n">
        <v>6</v>
      </c>
      <c r="C21" s="44">
        <f>+IF(C8&lt;&gt;"",C8,"")</f>
        <v/>
      </c>
      <c r="D21" s="45">
        <f>+D8*'Resumen operativo'!$D9</f>
        <v/>
      </c>
      <c r="E21" s="45">
        <f>+E8*'Resumen operativo'!$D9</f>
        <v/>
      </c>
      <c r="F21" s="45">
        <f>+F8*'Resumen operativo'!$D9</f>
        <v/>
      </c>
      <c r="G21" s="45">
        <f>+G8*'Resumen operativo'!$D9</f>
        <v/>
      </c>
      <c r="H21" s="45">
        <f>+H8*'Resumen operativo'!$D9</f>
        <v/>
      </c>
      <c r="I21" s="45">
        <f>+I8*'Resumen operativo'!$D9</f>
        <v/>
      </c>
      <c r="J21" s="45">
        <f>+J8*'Resumen operativo'!$D9</f>
        <v/>
      </c>
      <c r="K21" s="45">
        <f>+K8*'Resumen operativo'!$D9</f>
        <v/>
      </c>
      <c r="L21" s="45">
        <f>+L8*'Resumen operativo'!$D9</f>
        <v/>
      </c>
      <c r="M21" s="45">
        <f>+M8*'Resumen operativo'!$D9</f>
        <v/>
      </c>
      <c r="N21" s="45">
        <f>+N8*'Resumen operativo'!$D9</f>
        <v/>
      </c>
      <c r="O21" s="45">
        <f>+O8*'Resumen operativo'!$D9</f>
        <v/>
      </c>
      <c r="P21" s="80">
        <f>SUM(D21:O21)</f>
        <v/>
      </c>
      <c r="Q21" s="45">
        <f>+Q8*'Resumen operativo'!$D9</f>
        <v/>
      </c>
      <c r="R21" s="45">
        <f>+R8*'Resumen operativo'!$D9</f>
        <v/>
      </c>
      <c r="S21" s="45">
        <f>+S8*'Resumen operativo'!$D9</f>
        <v/>
      </c>
      <c r="T21" s="45">
        <f>+T8*'Resumen operativo'!$D9</f>
        <v/>
      </c>
      <c r="U21" s="45">
        <f>+U8*'Resumen operativo'!$D9</f>
        <v/>
      </c>
      <c r="V21" s="45">
        <f>+V8*'Resumen operativo'!$D9</f>
        <v/>
      </c>
      <c r="W21" s="45">
        <f>+W8*'Resumen operativo'!$D9</f>
        <v/>
      </c>
      <c r="X21" s="45">
        <f>+X8*'Resumen operativo'!$D9</f>
        <v/>
      </c>
      <c r="Y21" s="45">
        <f>+Y8*'Resumen operativo'!$D9</f>
        <v/>
      </c>
      <c r="Z21" s="45">
        <f>+Z8*'Resumen operativo'!$D9</f>
        <v/>
      </c>
      <c r="AA21" s="45">
        <f>+AA8*'Resumen operativo'!$D9</f>
        <v/>
      </c>
      <c r="AB21" s="45">
        <f>+AB8*'Resumen operativo'!$D9</f>
        <v/>
      </c>
      <c r="AC21" s="80">
        <f>SUM(Q21:AB21)</f>
        <v/>
      </c>
    </row>
    <row r="22" ht="14.25" customHeight="1">
      <c r="B22" s="81" t="n">
        <v>7</v>
      </c>
      <c r="C22" s="44">
        <f>+IF(C9&lt;&gt;"",C9,"")</f>
        <v/>
      </c>
      <c r="D22" s="45">
        <f>+D9*'Resumen operativo'!$D10</f>
        <v/>
      </c>
      <c r="E22" s="45">
        <f>+E9*'Resumen operativo'!$D10</f>
        <v/>
      </c>
      <c r="F22" s="45">
        <f>+F9*'Resumen operativo'!$D10</f>
        <v/>
      </c>
      <c r="G22" s="45">
        <f>+G9*'Resumen operativo'!$D10</f>
        <v/>
      </c>
      <c r="H22" s="45">
        <f>+H9*'Resumen operativo'!$D10</f>
        <v/>
      </c>
      <c r="I22" s="45">
        <f>+I9*'Resumen operativo'!$D10</f>
        <v/>
      </c>
      <c r="J22" s="45">
        <f>+J9*'Resumen operativo'!$D10</f>
        <v/>
      </c>
      <c r="K22" s="45">
        <f>+K9*'Resumen operativo'!$D10</f>
        <v/>
      </c>
      <c r="L22" s="45">
        <f>+L9*'Resumen operativo'!$D10</f>
        <v/>
      </c>
      <c r="M22" s="45">
        <f>+M9*'Resumen operativo'!$D10</f>
        <v/>
      </c>
      <c r="N22" s="45">
        <f>+N9*'Resumen operativo'!$D10</f>
        <v/>
      </c>
      <c r="O22" s="45">
        <f>+O9*'Resumen operativo'!$D10</f>
        <v/>
      </c>
      <c r="P22" s="80">
        <f>SUM(D22:O22)</f>
        <v/>
      </c>
      <c r="Q22" s="45">
        <f>+Q9*'Resumen operativo'!$D10</f>
        <v/>
      </c>
      <c r="R22" s="45">
        <f>+R9*'Resumen operativo'!$D10</f>
        <v/>
      </c>
      <c r="S22" s="45">
        <f>+S9*'Resumen operativo'!$D10</f>
        <v/>
      </c>
      <c r="T22" s="45">
        <f>+T9*'Resumen operativo'!$D10</f>
        <v/>
      </c>
      <c r="U22" s="45">
        <f>+U9*'Resumen operativo'!$D10</f>
        <v/>
      </c>
      <c r="V22" s="45">
        <f>+V9*'Resumen operativo'!$D10</f>
        <v/>
      </c>
      <c r="W22" s="45">
        <f>+W9*'Resumen operativo'!$D10</f>
        <v/>
      </c>
      <c r="X22" s="45">
        <f>+X9*'Resumen operativo'!$D10</f>
        <v/>
      </c>
      <c r="Y22" s="45">
        <f>+Y9*'Resumen operativo'!$D10</f>
        <v/>
      </c>
      <c r="Z22" s="45">
        <f>+Z9*'Resumen operativo'!$D10</f>
        <v/>
      </c>
      <c r="AA22" s="45">
        <f>+AA9*'Resumen operativo'!$D10</f>
        <v/>
      </c>
      <c r="AB22" s="45">
        <f>+AB9*'Resumen operativo'!$D10</f>
        <v/>
      </c>
      <c r="AC22" s="80">
        <f>SUM(Q22:AB22)</f>
        <v/>
      </c>
    </row>
    <row r="23" ht="14.25" customHeight="1">
      <c r="B23" s="81" t="n">
        <v>8</v>
      </c>
      <c r="C23" s="44">
        <f>+IF(C10&lt;&gt;"",C10,"")</f>
        <v/>
      </c>
      <c r="D23" s="45">
        <f>+D10*'Resumen operativo'!$D11</f>
        <v/>
      </c>
      <c r="E23" s="45">
        <f>+E10*'Resumen operativo'!$D11</f>
        <v/>
      </c>
      <c r="F23" s="45">
        <f>+F10*'Resumen operativo'!$D11</f>
        <v/>
      </c>
      <c r="G23" s="45">
        <f>+G10*'Resumen operativo'!$D11</f>
        <v/>
      </c>
      <c r="H23" s="45">
        <f>+H10*'Resumen operativo'!$D11</f>
        <v/>
      </c>
      <c r="I23" s="45">
        <f>+I10*'Resumen operativo'!$D11</f>
        <v/>
      </c>
      <c r="J23" s="45">
        <f>+J10*'Resumen operativo'!$D11</f>
        <v/>
      </c>
      <c r="K23" s="45">
        <f>+K10*'Resumen operativo'!$D11</f>
        <v/>
      </c>
      <c r="L23" s="45">
        <f>+L10*'Resumen operativo'!$D11</f>
        <v/>
      </c>
      <c r="M23" s="45">
        <f>+M10*'Resumen operativo'!$D11</f>
        <v/>
      </c>
      <c r="N23" s="45">
        <f>+N10*'Resumen operativo'!$D11</f>
        <v/>
      </c>
      <c r="O23" s="45">
        <f>+O10*'Resumen operativo'!$D11</f>
        <v/>
      </c>
      <c r="P23" s="80">
        <f>SUM(D23:O23)</f>
        <v/>
      </c>
      <c r="Q23" s="45">
        <f>+Q10*'Resumen operativo'!$D11</f>
        <v/>
      </c>
      <c r="R23" s="45">
        <f>+R10*'Resumen operativo'!$D11</f>
        <v/>
      </c>
      <c r="S23" s="45">
        <f>+S10*'Resumen operativo'!$D11</f>
        <v/>
      </c>
      <c r="T23" s="45">
        <f>+T10*'Resumen operativo'!$D11</f>
        <v/>
      </c>
      <c r="U23" s="45">
        <f>+U10*'Resumen operativo'!$D11</f>
        <v/>
      </c>
      <c r="V23" s="45">
        <f>+V10*'Resumen operativo'!$D11</f>
        <v/>
      </c>
      <c r="W23" s="45">
        <f>+W10*'Resumen operativo'!$D11</f>
        <v/>
      </c>
      <c r="X23" s="45">
        <f>+X10*'Resumen operativo'!$D11</f>
        <v/>
      </c>
      <c r="Y23" s="45">
        <f>+Y10*'Resumen operativo'!$D11</f>
        <v/>
      </c>
      <c r="Z23" s="45">
        <f>+Z10*'Resumen operativo'!$D11</f>
        <v/>
      </c>
      <c r="AA23" s="45">
        <f>+AA10*'Resumen operativo'!$D11</f>
        <v/>
      </c>
      <c r="AB23" s="45">
        <f>+AB10*'Resumen operativo'!$D11</f>
        <v/>
      </c>
      <c r="AC23" s="80">
        <f>SUM(Q23:AB23)</f>
        <v/>
      </c>
    </row>
    <row r="24" ht="14.25" customHeight="1">
      <c r="B24" s="81" t="n">
        <v>9</v>
      </c>
      <c r="C24" s="44">
        <f>+IF(C11&lt;&gt;"",C11,"")</f>
        <v/>
      </c>
      <c r="D24" s="45">
        <f>+D11*'Resumen operativo'!$D12</f>
        <v/>
      </c>
      <c r="E24" s="45">
        <f>+E11*'Resumen operativo'!$D12</f>
        <v/>
      </c>
      <c r="F24" s="45">
        <f>+F11*'Resumen operativo'!$D12</f>
        <v/>
      </c>
      <c r="G24" s="45">
        <f>+G11*'Resumen operativo'!$D12</f>
        <v/>
      </c>
      <c r="H24" s="45">
        <f>+H11*'Resumen operativo'!$D12</f>
        <v/>
      </c>
      <c r="I24" s="45">
        <f>+I11*'Resumen operativo'!$D12</f>
        <v/>
      </c>
      <c r="J24" s="45">
        <f>+J11*'Resumen operativo'!$D12</f>
        <v/>
      </c>
      <c r="K24" s="45">
        <f>+K11*'Resumen operativo'!$D12</f>
        <v/>
      </c>
      <c r="L24" s="45">
        <f>+L11*'Resumen operativo'!$D12</f>
        <v/>
      </c>
      <c r="M24" s="45">
        <f>+M11*'Resumen operativo'!$D12</f>
        <v/>
      </c>
      <c r="N24" s="45">
        <f>+N11*'Resumen operativo'!$D12</f>
        <v/>
      </c>
      <c r="O24" s="45">
        <f>+O11*'Resumen operativo'!$D12</f>
        <v/>
      </c>
      <c r="P24" s="80">
        <f>SUM(D24:O24)</f>
        <v/>
      </c>
      <c r="Q24" s="45">
        <f>+Q11*'Resumen operativo'!$D12</f>
        <v/>
      </c>
      <c r="R24" s="45">
        <f>+R11*'Resumen operativo'!$D12</f>
        <v/>
      </c>
      <c r="S24" s="45">
        <f>+S11*'Resumen operativo'!$D12</f>
        <v/>
      </c>
      <c r="T24" s="45">
        <f>+T11*'Resumen operativo'!$D12</f>
        <v/>
      </c>
      <c r="U24" s="45">
        <f>+U11*'Resumen operativo'!$D12</f>
        <v/>
      </c>
      <c r="V24" s="45">
        <f>+V11*'Resumen operativo'!$D12</f>
        <v/>
      </c>
      <c r="W24" s="45">
        <f>+W11*'Resumen operativo'!$D12</f>
        <v/>
      </c>
      <c r="X24" s="45">
        <f>+X11*'Resumen operativo'!$D12</f>
        <v/>
      </c>
      <c r="Y24" s="45">
        <f>+Y11*'Resumen operativo'!$D12</f>
        <v/>
      </c>
      <c r="Z24" s="45">
        <f>+Z11*'Resumen operativo'!$D12</f>
        <v/>
      </c>
      <c r="AA24" s="45">
        <f>+AA11*'Resumen operativo'!$D12</f>
        <v/>
      </c>
      <c r="AB24" s="45">
        <f>+AB11*'Resumen operativo'!$D12</f>
        <v/>
      </c>
      <c r="AC24" s="80">
        <f>SUM(Q24:AB24)</f>
        <v/>
      </c>
    </row>
    <row r="25" ht="14.25" customHeight="1">
      <c r="B25" s="82" t="n">
        <v>10</v>
      </c>
      <c r="C25" s="44">
        <f>+IF(C12&lt;&gt;"",C12,"")</f>
        <v/>
      </c>
      <c r="D25" s="45">
        <f>+D12*'Resumen operativo'!$D13</f>
        <v/>
      </c>
      <c r="E25" s="45">
        <f>+E12*'Resumen operativo'!$D13</f>
        <v/>
      </c>
      <c r="F25" s="45">
        <f>+F12*'Resumen operativo'!$D13</f>
        <v/>
      </c>
      <c r="G25" s="45">
        <f>+G12*'Resumen operativo'!$D13</f>
        <v/>
      </c>
      <c r="H25" s="45">
        <f>+H12*'Resumen operativo'!$D13</f>
        <v/>
      </c>
      <c r="I25" s="45">
        <f>+I12*'Resumen operativo'!$D13</f>
        <v/>
      </c>
      <c r="J25" s="45">
        <f>+J12*'Resumen operativo'!$D13</f>
        <v/>
      </c>
      <c r="K25" s="45">
        <f>+K12*'Resumen operativo'!$D13</f>
        <v/>
      </c>
      <c r="L25" s="45">
        <f>+L12*'Resumen operativo'!$D13</f>
        <v/>
      </c>
      <c r="M25" s="45">
        <f>+M12*'Resumen operativo'!$D13</f>
        <v/>
      </c>
      <c r="N25" s="45">
        <f>+N12*'Resumen operativo'!$D13</f>
        <v/>
      </c>
      <c r="O25" s="45">
        <f>+O12*'Resumen operativo'!$D13</f>
        <v/>
      </c>
      <c r="P25" s="83">
        <f>SUM(D25:O25)</f>
        <v/>
      </c>
      <c r="Q25" s="45">
        <f>+Q12*'Resumen operativo'!$D13</f>
        <v/>
      </c>
      <c r="R25" s="45">
        <f>+R12*'Resumen operativo'!$D13</f>
        <v/>
      </c>
      <c r="S25" s="45">
        <f>+S12*'Resumen operativo'!$D13</f>
        <v/>
      </c>
      <c r="T25" s="45">
        <f>+T12*'Resumen operativo'!$D13</f>
        <v/>
      </c>
      <c r="U25" s="45">
        <f>+U12*'Resumen operativo'!$D13</f>
        <v/>
      </c>
      <c r="V25" s="45">
        <f>+V12*'Resumen operativo'!$D13</f>
        <v/>
      </c>
      <c r="W25" s="45">
        <f>+W12*'Resumen operativo'!$D13</f>
        <v/>
      </c>
      <c r="X25" s="45">
        <f>+X12*'Resumen operativo'!$D13</f>
        <v/>
      </c>
      <c r="Y25" s="45">
        <f>+Y12*'Resumen operativo'!$D13</f>
        <v/>
      </c>
      <c r="Z25" s="45">
        <f>+Z12*'Resumen operativo'!$D13</f>
        <v/>
      </c>
      <c r="AA25" s="45">
        <f>+AA12*'Resumen operativo'!$D13</f>
        <v/>
      </c>
      <c r="AB25" s="45">
        <f>+AB12*'Resumen operativo'!$D13</f>
        <v/>
      </c>
      <c r="AC25" s="83">
        <f>SUM(Q25:AB25)</f>
        <v/>
      </c>
    </row>
    <row r="26" ht="14.25" customHeight="1">
      <c r="B26" s="84" t="n"/>
      <c r="C26" s="85" t="inlineStr">
        <is>
          <t>Total Ventas en Pesos</t>
        </is>
      </c>
      <c r="D26" s="86">
        <f>SUM(D16:D25)</f>
        <v/>
      </c>
      <c r="E26" s="86">
        <f>SUM(E16:E25)</f>
        <v/>
      </c>
      <c r="F26" s="86">
        <f>SUM(F16:F25)</f>
        <v/>
      </c>
      <c r="G26" s="86">
        <f>SUM(G16:G25)</f>
        <v/>
      </c>
      <c r="H26" s="86">
        <f>SUM(H16:H25)</f>
        <v/>
      </c>
      <c r="I26" s="86">
        <f>SUM(I16:I25)</f>
        <v/>
      </c>
      <c r="J26" s="86">
        <f>SUM(J16:J25)</f>
        <v/>
      </c>
      <c r="K26" s="86">
        <f>SUM(K16:K25)</f>
        <v/>
      </c>
      <c r="L26" s="86">
        <f>SUM(L16:L25)</f>
        <v/>
      </c>
      <c r="M26" s="86">
        <f>SUM(M16:M25)</f>
        <v/>
      </c>
      <c r="N26" s="86">
        <f>SUM(N16:N25)</f>
        <v/>
      </c>
      <c r="O26" s="86">
        <f>SUM(O16:O25)</f>
        <v/>
      </c>
      <c r="P26" s="87">
        <f>SUM(P16:P25)</f>
        <v/>
      </c>
      <c r="Q26" s="86">
        <f>SUM(Q16:Q25)</f>
        <v/>
      </c>
      <c r="R26" s="86">
        <f>SUM(R16:R25)</f>
        <v/>
      </c>
      <c r="S26" s="86">
        <f>SUM(S16:S25)</f>
        <v/>
      </c>
      <c r="T26" s="86">
        <f>SUM(T16:T25)</f>
        <v/>
      </c>
      <c r="U26" s="86">
        <f>SUM(U16:U25)</f>
        <v/>
      </c>
      <c r="V26" s="86">
        <f>SUM(V16:V25)</f>
        <v/>
      </c>
      <c r="W26" s="86">
        <f>SUM(W16:W25)</f>
        <v/>
      </c>
      <c r="X26" s="86">
        <f>SUM(X16:X25)</f>
        <v/>
      </c>
      <c r="Y26" s="86">
        <f>SUM(Y16:Y25)</f>
        <v/>
      </c>
      <c r="Z26" s="86">
        <f>SUM(Z16:Z25)</f>
        <v/>
      </c>
      <c r="AA26" s="86">
        <f>SUM(AA16:AA25)</f>
        <v/>
      </c>
      <c r="AB26" s="86">
        <f>SUM(AB16:AB25)</f>
        <v/>
      </c>
      <c r="AC26" s="87">
        <f>SUM(AC16:AC25)</f>
        <v/>
      </c>
    </row>
    <row r="27" ht="14.25" customHeight="1"/>
    <row r="28" ht="14.25" customHeight="1">
      <c r="B28" s="54" t="inlineStr">
        <is>
          <t>#</t>
        </is>
      </c>
      <c r="C28" s="55" t="inlineStr">
        <is>
          <t xml:space="preserve">Producción en $ </t>
        </is>
      </c>
      <c r="D28" s="56" t="n">
        <v>1</v>
      </c>
      <c r="E28" s="56" t="n">
        <v>2</v>
      </c>
      <c r="F28" s="56" t="n">
        <v>3</v>
      </c>
      <c r="G28" s="56" t="n">
        <v>4</v>
      </c>
      <c r="H28" s="56" t="n">
        <v>5</v>
      </c>
      <c r="I28" s="56" t="n">
        <v>6</v>
      </c>
      <c r="J28" s="56" t="n">
        <v>7</v>
      </c>
      <c r="K28" s="56" t="n">
        <v>8</v>
      </c>
      <c r="L28" s="56" t="n">
        <v>9</v>
      </c>
      <c r="M28" s="56" t="n">
        <v>10</v>
      </c>
      <c r="N28" s="56" t="n">
        <v>11</v>
      </c>
      <c r="O28" s="56" t="n">
        <v>12</v>
      </c>
      <c r="P28" s="57" t="inlineStr">
        <is>
          <t>Total</t>
        </is>
      </c>
      <c r="Q28" s="56" t="n">
        <v>1</v>
      </c>
      <c r="R28" s="56" t="n">
        <v>2</v>
      </c>
      <c r="S28" s="56" t="n">
        <v>3</v>
      </c>
      <c r="T28" s="56" t="n">
        <v>4</v>
      </c>
      <c r="U28" s="56" t="n">
        <v>5</v>
      </c>
      <c r="V28" s="56" t="n">
        <v>6</v>
      </c>
      <c r="W28" s="56" t="n">
        <v>7</v>
      </c>
      <c r="X28" s="56" t="n">
        <v>8</v>
      </c>
      <c r="Y28" s="56" t="n">
        <v>9</v>
      </c>
      <c r="Z28" s="56" t="n">
        <v>10</v>
      </c>
      <c r="AA28" s="56" t="n">
        <v>11</v>
      </c>
      <c r="AB28" s="56" t="n">
        <v>12</v>
      </c>
      <c r="AC28" s="57" t="inlineStr">
        <is>
          <t>Total</t>
        </is>
      </c>
    </row>
    <row r="29" ht="14.25" customHeight="1">
      <c r="B29" s="79" t="n">
        <v>1</v>
      </c>
      <c r="C29" s="88">
        <f>+C16</f>
        <v/>
      </c>
      <c r="D29" s="45">
        <f>+D3*'Resumen operativo'!$E4</f>
        <v/>
      </c>
      <c r="E29" s="45">
        <f>+E3*'Resumen operativo'!$E4</f>
        <v/>
      </c>
      <c r="F29" s="45">
        <f>+F3*'Resumen operativo'!$E4</f>
        <v/>
      </c>
      <c r="G29" s="45">
        <f>+G3*'Resumen operativo'!$E4</f>
        <v/>
      </c>
      <c r="H29" s="45">
        <f>+H3*'Resumen operativo'!$E4</f>
        <v/>
      </c>
      <c r="I29" s="45">
        <f>+I3*'Resumen operativo'!$E4</f>
        <v/>
      </c>
      <c r="J29" s="45">
        <f>+J3*'Resumen operativo'!$E4</f>
        <v/>
      </c>
      <c r="K29" s="45">
        <f>+K3*'Resumen operativo'!$E4</f>
        <v/>
      </c>
      <c r="L29" s="45">
        <f>+L3*'Resumen operativo'!$E4</f>
        <v/>
      </c>
      <c r="M29" s="45">
        <f>+M3*'Resumen operativo'!$E4</f>
        <v/>
      </c>
      <c r="N29" s="45">
        <f>+N3*'Resumen operativo'!$E4</f>
        <v/>
      </c>
      <c r="O29" s="45">
        <f>+O3*'Resumen operativo'!$E4</f>
        <v/>
      </c>
      <c r="P29" s="80">
        <f>SUM(D29:O29)</f>
        <v/>
      </c>
      <c r="Q29" s="45">
        <f>+Q3*'Resumen operativo'!$E4</f>
        <v/>
      </c>
      <c r="R29" s="45">
        <f>+R3*'Resumen operativo'!$E4</f>
        <v/>
      </c>
      <c r="S29" s="45">
        <f>+S3*'Resumen operativo'!$E4</f>
        <v/>
      </c>
      <c r="T29" s="45">
        <f>+T3*'Resumen operativo'!$E4</f>
        <v/>
      </c>
      <c r="U29" s="45">
        <f>+U3*'Resumen operativo'!$E4</f>
        <v/>
      </c>
      <c r="V29" s="45">
        <f>+V3*'Resumen operativo'!$E4</f>
        <v/>
      </c>
      <c r="W29" s="45">
        <f>+W3*'Resumen operativo'!$E4</f>
        <v/>
      </c>
      <c r="X29" s="45">
        <f>+X3*'Resumen operativo'!$E4</f>
        <v/>
      </c>
      <c r="Y29" s="45">
        <f>+Y3*'Resumen operativo'!$E4</f>
        <v/>
      </c>
      <c r="Z29" s="45">
        <f>+Z3*'Resumen operativo'!$E4</f>
        <v/>
      </c>
      <c r="AA29" s="45">
        <f>+AA3*'Resumen operativo'!$E4</f>
        <v/>
      </c>
      <c r="AB29" s="45">
        <f>+AB3*'Resumen operativo'!$E4</f>
        <v/>
      </c>
      <c r="AC29" s="80">
        <f>SUM(Q29:AB29)</f>
        <v/>
      </c>
    </row>
    <row r="30" ht="14.25" customHeight="1">
      <c r="B30" s="81" t="n">
        <v>2</v>
      </c>
      <c r="C30" s="88">
        <f>+C17</f>
        <v/>
      </c>
      <c r="D30" s="45">
        <f>+D4*'Resumen operativo'!$E5</f>
        <v/>
      </c>
      <c r="E30" s="45">
        <f>+E4*'Resumen operativo'!$E5</f>
        <v/>
      </c>
      <c r="F30" s="45">
        <f>+F4*'Resumen operativo'!$E5</f>
        <v/>
      </c>
      <c r="G30" s="45">
        <f>+G4*'Resumen operativo'!$E5</f>
        <v/>
      </c>
      <c r="H30" s="45">
        <f>+H4*'Resumen operativo'!$E5</f>
        <v/>
      </c>
      <c r="I30" s="45">
        <f>+I4*'Resumen operativo'!$E5</f>
        <v/>
      </c>
      <c r="J30" s="45">
        <f>+J4*'Resumen operativo'!$E5</f>
        <v/>
      </c>
      <c r="K30" s="45">
        <f>+K4*'Resumen operativo'!$E5</f>
        <v/>
      </c>
      <c r="L30" s="45">
        <f>+L4*'Resumen operativo'!$E5</f>
        <v/>
      </c>
      <c r="M30" s="45">
        <f>+M4*'Resumen operativo'!$E5</f>
        <v/>
      </c>
      <c r="N30" s="45">
        <f>+N4*'Resumen operativo'!$E5</f>
        <v/>
      </c>
      <c r="O30" s="45">
        <f>+O4*'Resumen operativo'!$E5</f>
        <v/>
      </c>
      <c r="P30" s="80">
        <f>SUM(D30:O30)</f>
        <v/>
      </c>
      <c r="Q30" s="45">
        <f>+Q4*'Resumen operativo'!$E5</f>
        <v/>
      </c>
      <c r="R30" s="45">
        <f>+R4*'Resumen operativo'!$E5</f>
        <v/>
      </c>
      <c r="S30" s="45">
        <f>+S4*'Resumen operativo'!$E5</f>
        <v/>
      </c>
      <c r="T30" s="45">
        <f>+T4*'Resumen operativo'!$E5</f>
        <v/>
      </c>
      <c r="U30" s="45">
        <f>+U4*'Resumen operativo'!$E5</f>
        <v/>
      </c>
      <c r="V30" s="45">
        <f>+V4*'Resumen operativo'!$E5</f>
        <v/>
      </c>
      <c r="W30" s="45">
        <f>+W4*'Resumen operativo'!$E5</f>
        <v/>
      </c>
      <c r="X30" s="45">
        <f>+X4*'Resumen operativo'!$E5</f>
        <v/>
      </c>
      <c r="Y30" s="45">
        <f>+Y4*'Resumen operativo'!$E5</f>
        <v/>
      </c>
      <c r="Z30" s="45">
        <f>+Z4*'Resumen operativo'!$E5</f>
        <v/>
      </c>
      <c r="AA30" s="45">
        <f>+AA4*'Resumen operativo'!$E5</f>
        <v/>
      </c>
      <c r="AB30" s="45">
        <f>+AB4*'Resumen operativo'!$E5</f>
        <v/>
      </c>
      <c r="AC30" s="80">
        <f>SUM(Q30:AB30)</f>
        <v/>
      </c>
    </row>
    <row r="31" ht="14.25" customHeight="1">
      <c r="B31" s="81" t="n">
        <v>3</v>
      </c>
      <c r="C31" s="88">
        <f>+C18</f>
        <v/>
      </c>
      <c r="D31" s="45">
        <f>+D5*'Resumen operativo'!$E6</f>
        <v/>
      </c>
      <c r="E31" s="45">
        <f>+E5*'Resumen operativo'!$E6</f>
        <v/>
      </c>
      <c r="F31" s="45">
        <f>+F5*'Resumen operativo'!$E6</f>
        <v/>
      </c>
      <c r="G31" s="45">
        <f>+G5*'Resumen operativo'!$E6</f>
        <v/>
      </c>
      <c r="H31" s="45">
        <f>+H5*'Resumen operativo'!$E6</f>
        <v/>
      </c>
      <c r="I31" s="45">
        <f>+I5*'Resumen operativo'!$E6</f>
        <v/>
      </c>
      <c r="J31" s="45">
        <f>+J5*'Resumen operativo'!$E6</f>
        <v/>
      </c>
      <c r="K31" s="45">
        <f>+K5*'Resumen operativo'!$E6</f>
        <v/>
      </c>
      <c r="L31" s="45">
        <f>+L5*'Resumen operativo'!$E6</f>
        <v/>
      </c>
      <c r="M31" s="45">
        <f>+M5*'Resumen operativo'!$E6</f>
        <v/>
      </c>
      <c r="N31" s="45">
        <f>+N5*'Resumen operativo'!$E6</f>
        <v/>
      </c>
      <c r="O31" s="45">
        <f>+O5*'Resumen operativo'!$E6</f>
        <v/>
      </c>
      <c r="P31" s="80">
        <f>SUM(D31:O31)</f>
        <v/>
      </c>
      <c r="Q31" s="45">
        <f>+Q5*'Resumen operativo'!$E6</f>
        <v/>
      </c>
      <c r="R31" s="45">
        <f>+R5*'Resumen operativo'!$E6</f>
        <v/>
      </c>
      <c r="S31" s="45">
        <f>+S5*'Resumen operativo'!$E6</f>
        <v/>
      </c>
      <c r="T31" s="45">
        <f>+T5*'Resumen operativo'!$E6</f>
        <v/>
      </c>
      <c r="U31" s="45">
        <f>+U5*'Resumen operativo'!$E6</f>
        <v/>
      </c>
      <c r="V31" s="45">
        <f>+V5*'Resumen operativo'!$E6</f>
        <v/>
      </c>
      <c r="W31" s="45">
        <f>+W5*'Resumen operativo'!$E6</f>
        <v/>
      </c>
      <c r="X31" s="45">
        <f>+X5*'Resumen operativo'!$E6</f>
        <v/>
      </c>
      <c r="Y31" s="45">
        <f>+Y5*'Resumen operativo'!$E6</f>
        <v/>
      </c>
      <c r="Z31" s="45">
        <f>+Z5*'Resumen operativo'!$E6</f>
        <v/>
      </c>
      <c r="AA31" s="45">
        <f>+AA5*'Resumen operativo'!$E6</f>
        <v/>
      </c>
      <c r="AB31" s="45">
        <f>+AB5*'Resumen operativo'!$E6</f>
        <v/>
      </c>
      <c r="AC31" s="80">
        <f>SUM(Q31:AB31)</f>
        <v/>
      </c>
    </row>
    <row r="32" ht="14.25" customHeight="1">
      <c r="B32" s="81" t="n">
        <v>4</v>
      </c>
      <c r="C32" s="88">
        <f>+C19</f>
        <v/>
      </c>
      <c r="D32" s="45">
        <f>+D6*'Resumen operativo'!$E7</f>
        <v/>
      </c>
      <c r="E32" s="45">
        <f>+E6*'Resumen operativo'!$E7</f>
        <v/>
      </c>
      <c r="F32" s="45">
        <f>+F6*'Resumen operativo'!$E7</f>
        <v/>
      </c>
      <c r="G32" s="45">
        <f>+G6*'Resumen operativo'!$E7</f>
        <v/>
      </c>
      <c r="H32" s="45">
        <f>+H6*'Resumen operativo'!$E7</f>
        <v/>
      </c>
      <c r="I32" s="45">
        <f>+I6*'Resumen operativo'!$E7</f>
        <v/>
      </c>
      <c r="J32" s="45">
        <f>+J6*'Resumen operativo'!$E7</f>
        <v/>
      </c>
      <c r="K32" s="45">
        <f>+K6*'Resumen operativo'!$E7</f>
        <v/>
      </c>
      <c r="L32" s="45">
        <f>+L6*'Resumen operativo'!$E7</f>
        <v/>
      </c>
      <c r="M32" s="45">
        <f>+M6*'Resumen operativo'!$E7</f>
        <v/>
      </c>
      <c r="N32" s="45">
        <f>+N6*'Resumen operativo'!$E7</f>
        <v/>
      </c>
      <c r="O32" s="45">
        <f>+O6*'Resumen operativo'!$E7</f>
        <v/>
      </c>
      <c r="P32" s="80">
        <f>SUM(D32:O32)</f>
        <v/>
      </c>
      <c r="Q32" s="45">
        <f>+Q6*'Resumen operativo'!$E7</f>
        <v/>
      </c>
      <c r="R32" s="45">
        <f>+R6*'Resumen operativo'!$E7</f>
        <v/>
      </c>
      <c r="S32" s="45">
        <f>+S6*'Resumen operativo'!$E7</f>
        <v/>
      </c>
      <c r="T32" s="45">
        <f>+T6*'Resumen operativo'!$E7</f>
        <v/>
      </c>
      <c r="U32" s="45">
        <f>+U6*'Resumen operativo'!$E7</f>
        <v/>
      </c>
      <c r="V32" s="45">
        <f>+V6*'Resumen operativo'!$E7</f>
        <v/>
      </c>
      <c r="W32" s="45">
        <f>+W6*'Resumen operativo'!$E7</f>
        <v/>
      </c>
      <c r="X32" s="45">
        <f>+X6*'Resumen operativo'!$E7</f>
        <v/>
      </c>
      <c r="Y32" s="45">
        <f>+Y6*'Resumen operativo'!$E7</f>
        <v/>
      </c>
      <c r="Z32" s="45">
        <f>+Z6*'Resumen operativo'!$E7</f>
        <v/>
      </c>
      <c r="AA32" s="45">
        <f>+AA6*'Resumen operativo'!$E7</f>
        <v/>
      </c>
      <c r="AB32" s="45">
        <f>+AB6*'Resumen operativo'!$E7</f>
        <v/>
      </c>
      <c r="AC32" s="80">
        <f>SUM(Q32:AB32)</f>
        <v/>
      </c>
    </row>
    <row r="33" ht="14.25" customHeight="1">
      <c r="B33" s="81" t="n">
        <v>5</v>
      </c>
      <c r="C33" s="88">
        <f>+C20</f>
        <v/>
      </c>
      <c r="D33" s="45">
        <f>+D7*'Resumen operativo'!$E8</f>
        <v/>
      </c>
      <c r="E33" s="45">
        <f>+E7*'Resumen operativo'!$E8</f>
        <v/>
      </c>
      <c r="F33" s="45">
        <f>+F7*'Resumen operativo'!$E8</f>
        <v/>
      </c>
      <c r="G33" s="45">
        <f>+G7*'Resumen operativo'!$E8</f>
        <v/>
      </c>
      <c r="H33" s="45">
        <f>+H7*'Resumen operativo'!$E8</f>
        <v/>
      </c>
      <c r="I33" s="45">
        <f>+I7*'Resumen operativo'!$E8</f>
        <v/>
      </c>
      <c r="J33" s="45">
        <f>+J7*'Resumen operativo'!$E8</f>
        <v/>
      </c>
      <c r="K33" s="45">
        <f>+K7*'Resumen operativo'!$E8</f>
        <v/>
      </c>
      <c r="L33" s="45">
        <f>+L7*'Resumen operativo'!$E8</f>
        <v/>
      </c>
      <c r="M33" s="45">
        <f>+M7*'Resumen operativo'!$E8</f>
        <v/>
      </c>
      <c r="N33" s="45">
        <f>+N7*'Resumen operativo'!$E8</f>
        <v/>
      </c>
      <c r="O33" s="45">
        <f>+O7*'Resumen operativo'!$E8</f>
        <v/>
      </c>
      <c r="P33" s="80">
        <f>SUM(D33:O33)</f>
        <v/>
      </c>
      <c r="Q33" s="45">
        <f>+Q7*'Resumen operativo'!$E8</f>
        <v/>
      </c>
      <c r="R33" s="45">
        <f>+R7*'Resumen operativo'!$E8</f>
        <v/>
      </c>
      <c r="S33" s="45">
        <f>+S7*'Resumen operativo'!$E8</f>
        <v/>
      </c>
      <c r="T33" s="45">
        <f>+T7*'Resumen operativo'!$E8</f>
        <v/>
      </c>
      <c r="U33" s="45">
        <f>+U7*'Resumen operativo'!$E8</f>
        <v/>
      </c>
      <c r="V33" s="45">
        <f>+V7*'Resumen operativo'!$E8</f>
        <v/>
      </c>
      <c r="W33" s="45">
        <f>+W7*'Resumen operativo'!$E8</f>
        <v/>
      </c>
      <c r="X33" s="45">
        <f>+X7*'Resumen operativo'!$E8</f>
        <v/>
      </c>
      <c r="Y33" s="45">
        <f>+Y7*'Resumen operativo'!$E8</f>
        <v/>
      </c>
      <c r="Z33" s="45">
        <f>+Z7*'Resumen operativo'!$E8</f>
        <v/>
      </c>
      <c r="AA33" s="45">
        <f>+AA7*'Resumen operativo'!$E8</f>
        <v/>
      </c>
      <c r="AB33" s="45">
        <f>+AB7*'Resumen operativo'!$E8</f>
        <v/>
      </c>
      <c r="AC33" s="80">
        <f>SUM(Q33:AB33)</f>
        <v/>
      </c>
    </row>
    <row r="34" ht="14.25" customHeight="1">
      <c r="B34" s="81" t="n">
        <v>6</v>
      </c>
      <c r="C34" s="88">
        <f>+C21</f>
        <v/>
      </c>
      <c r="D34" s="45">
        <f>+D8*'Resumen operativo'!$E9</f>
        <v/>
      </c>
      <c r="E34" s="45">
        <f>+E8*'Resumen operativo'!$E9</f>
        <v/>
      </c>
      <c r="F34" s="45">
        <f>+F8*'Resumen operativo'!$E9</f>
        <v/>
      </c>
      <c r="G34" s="45">
        <f>+G8*'Resumen operativo'!$E9</f>
        <v/>
      </c>
      <c r="H34" s="45">
        <f>+H8*'Resumen operativo'!$E9</f>
        <v/>
      </c>
      <c r="I34" s="45">
        <f>+I8*'Resumen operativo'!$E9</f>
        <v/>
      </c>
      <c r="J34" s="45">
        <f>+J8*'Resumen operativo'!$E9</f>
        <v/>
      </c>
      <c r="K34" s="45">
        <f>+K8*'Resumen operativo'!$E9</f>
        <v/>
      </c>
      <c r="L34" s="45">
        <f>+L8*'Resumen operativo'!$E9</f>
        <v/>
      </c>
      <c r="M34" s="45">
        <f>+M8*'Resumen operativo'!$E9</f>
        <v/>
      </c>
      <c r="N34" s="45">
        <f>+N8*'Resumen operativo'!$E9</f>
        <v/>
      </c>
      <c r="O34" s="45">
        <f>+O8*'Resumen operativo'!$E9</f>
        <v/>
      </c>
      <c r="P34" s="80">
        <f>SUM(D34:O34)</f>
        <v/>
      </c>
      <c r="Q34" s="45">
        <f>+Q8*'Resumen operativo'!$E9</f>
        <v/>
      </c>
      <c r="R34" s="45">
        <f>+R8*'Resumen operativo'!$E9</f>
        <v/>
      </c>
      <c r="S34" s="45">
        <f>+S8*'Resumen operativo'!$E9</f>
        <v/>
      </c>
      <c r="T34" s="45">
        <f>+T8*'Resumen operativo'!$E9</f>
        <v/>
      </c>
      <c r="U34" s="45">
        <f>+U8*'Resumen operativo'!$E9</f>
        <v/>
      </c>
      <c r="V34" s="45">
        <f>+V8*'Resumen operativo'!$E9</f>
        <v/>
      </c>
      <c r="W34" s="45">
        <f>+W8*'Resumen operativo'!$E9</f>
        <v/>
      </c>
      <c r="X34" s="45">
        <f>+X8*'Resumen operativo'!$E9</f>
        <v/>
      </c>
      <c r="Y34" s="45">
        <f>+Y8*'Resumen operativo'!$E9</f>
        <v/>
      </c>
      <c r="Z34" s="45">
        <f>+Z8*'Resumen operativo'!$E9</f>
        <v/>
      </c>
      <c r="AA34" s="45">
        <f>+AA8*'Resumen operativo'!$E9</f>
        <v/>
      </c>
      <c r="AB34" s="45">
        <f>+AB8*'Resumen operativo'!$E9</f>
        <v/>
      </c>
      <c r="AC34" s="80">
        <f>SUM(Q34:AB34)</f>
        <v/>
      </c>
    </row>
    <row r="35" ht="14.25" customHeight="1">
      <c r="B35" s="81" t="n">
        <v>7</v>
      </c>
      <c r="C35" s="88">
        <f>+C22</f>
        <v/>
      </c>
      <c r="D35" s="45">
        <f>+D9*'Resumen operativo'!$E10</f>
        <v/>
      </c>
      <c r="E35" s="45">
        <f>+E9*'Resumen operativo'!$E10</f>
        <v/>
      </c>
      <c r="F35" s="45">
        <f>+F9*'Resumen operativo'!$E10</f>
        <v/>
      </c>
      <c r="G35" s="45">
        <f>+G9*'Resumen operativo'!$E10</f>
        <v/>
      </c>
      <c r="H35" s="45">
        <f>+H9*'Resumen operativo'!$E10</f>
        <v/>
      </c>
      <c r="I35" s="45">
        <f>+I9*'Resumen operativo'!$E10</f>
        <v/>
      </c>
      <c r="J35" s="45">
        <f>+J9*'Resumen operativo'!$E10</f>
        <v/>
      </c>
      <c r="K35" s="45">
        <f>+K9*'Resumen operativo'!$E10</f>
        <v/>
      </c>
      <c r="L35" s="45">
        <f>+L9*'Resumen operativo'!$E10</f>
        <v/>
      </c>
      <c r="M35" s="45">
        <f>+M9*'Resumen operativo'!$E10</f>
        <v/>
      </c>
      <c r="N35" s="45">
        <f>+N9*'Resumen operativo'!$E10</f>
        <v/>
      </c>
      <c r="O35" s="45">
        <f>+O9*'Resumen operativo'!$E10</f>
        <v/>
      </c>
      <c r="P35" s="80">
        <f>SUM(D35:O35)</f>
        <v/>
      </c>
      <c r="Q35" s="45">
        <f>+Q9*'Resumen operativo'!$E10</f>
        <v/>
      </c>
      <c r="R35" s="45">
        <f>+R9*'Resumen operativo'!$E10</f>
        <v/>
      </c>
      <c r="S35" s="45">
        <f>+S9*'Resumen operativo'!$E10</f>
        <v/>
      </c>
      <c r="T35" s="45">
        <f>+T9*'Resumen operativo'!$E10</f>
        <v/>
      </c>
      <c r="U35" s="45">
        <f>+U9*'Resumen operativo'!$E10</f>
        <v/>
      </c>
      <c r="V35" s="45">
        <f>+V9*'Resumen operativo'!$E10</f>
        <v/>
      </c>
      <c r="W35" s="45">
        <f>+W9*'Resumen operativo'!$E10</f>
        <v/>
      </c>
      <c r="X35" s="45">
        <f>+X9*'Resumen operativo'!$E10</f>
        <v/>
      </c>
      <c r="Y35" s="45">
        <f>+Y9*'Resumen operativo'!$E10</f>
        <v/>
      </c>
      <c r="Z35" s="45">
        <f>+Z9*'Resumen operativo'!$E10</f>
        <v/>
      </c>
      <c r="AA35" s="45">
        <f>+AA9*'Resumen operativo'!$E10</f>
        <v/>
      </c>
      <c r="AB35" s="45">
        <f>+AB9*'Resumen operativo'!$E10</f>
        <v/>
      </c>
      <c r="AC35" s="80">
        <f>SUM(Q35:AB35)</f>
        <v/>
      </c>
    </row>
    <row r="36" ht="14.25" customHeight="1">
      <c r="B36" s="81" t="n">
        <v>8</v>
      </c>
      <c r="C36" s="88">
        <f>+C23</f>
        <v/>
      </c>
      <c r="D36" s="45">
        <f>+D10*'Resumen operativo'!$E11</f>
        <v/>
      </c>
      <c r="E36" s="45">
        <f>+E10*'Resumen operativo'!$E11</f>
        <v/>
      </c>
      <c r="F36" s="45">
        <f>+F10*'Resumen operativo'!$E11</f>
        <v/>
      </c>
      <c r="G36" s="45">
        <f>+G10*'Resumen operativo'!$E11</f>
        <v/>
      </c>
      <c r="H36" s="45">
        <f>+H10*'Resumen operativo'!$E11</f>
        <v/>
      </c>
      <c r="I36" s="45">
        <f>+I10*'Resumen operativo'!$E11</f>
        <v/>
      </c>
      <c r="J36" s="45">
        <f>+J10*'Resumen operativo'!$E11</f>
        <v/>
      </c>
      <c r="K36" s="45">
        <f>+K10*'Resumen operativo'!$E11</f>
        <v/>
      </c>
      <c r="L36" s="45">
        <f>+L10*'Resumen operativo'!$E11</f>
        <v/>
      </c>
      <c r="M36" s="45">
        <f>+M10*'Resumen operativo'!$E11</f>
        <v/>
      </c>
      <c r="N36" s="45">
        <f>+N10*'Resumen operativo'!$E11</f>
        <v/>
      </c>
      <c r="O36" s="45">
        <f>+O10*'Resumen operativo'!$E11</f>
        <v/>
      </c>
      <c r="P36" s="80">
        <f>SUM(D36:O36)</f>
        <v/>
      </c>
      <c r="Q36" s="45">
        <f>+Q10*'Resumen operativo'!$E11</f>
        <v/>
      </c>
      <c r="R36" s="45">
        <f>+R10*'Resumen operativo'!$E11</f>
        <v/>
      </c>
      <c r="S36" s="45">
        <f>+S10*'Resumen operativo'!$E11</f>
        <v/>
      </c>
      <c r="T36" s="45">
        <f>+T10*'Resumen operativo'!$E11</f>
        <v/>
      </c>
      <c r="U36" s="45">
        <f>+U10*'Resumen operativo'!$E11</f>
        <v/>
      </c>
      <c r="V36" s="45">
        <f>+V10*'Resumen operativo'!$E11</f>
        <v/>
      </c>
      <c r="W36" s="45">
        <f>+W10*'Resumen operativo'!$E11</f>
        <v/>
      </c>
      <c r="X36" s="45">
        <f>+X10*'Resumen operativo'!$E11</f>
        <v/>
      </c>
      <c r="Y36" s="45">
        <f>+Y10*'Resumen operativo'!$E11</f>
        <v/>
      </c>
      <c r="Z36" s="45">
        <f>+Z10*'Resumen operativo'!$E11</f>
        <v/>
      </c>
      <c r="AA36" s="45">
        <f>+AA10*'Resumen operativo'!$E11</f>
        <v/>
      </c>
      <c r="AB36" s="45">
        <f>+AB10*'Resumen operativo'!$E11</f>
        <v/>
      </c>
      <c r="AC36" s="80">
        <f>SUM(Q36:AB36)</f>
        <v/>
      </c>
    </row>
    <row r="37" ht="14.25" customHeight="1">
      <c r="B37" s="81" t="n">
        <v>9</v>
      </c>
      <c r="C37" s="88">
        <f>+C24</f>
        <v/>
      </c>
      <c r="D37" s="45">
        <f>+D11*'Resumen operativo'!$E12</f>
        <v/>
      </c>
      <c r="E37" s="45">
        <f>+E11*'Resumen operativo'!$E12</f>
        <v/>
      </c>
      <c r="F37" s="45">
        <f>+F11*'Resumen operativo'!$E12</f>
        <v/>
      </c>
      <c r="G37" s="45">
        <f>+G11*'Resumen operativo'!$E12</f>
        <v/>
      </c>
      <c r="H37" s="45">
        <f>+H11*'Resumen operativo'!$E12</f>
        <v/>
      </c>
      <c r="I37" s="45">
        <f>+I11*'Resumen operativo'!$E12</f>
        <v/>
      </c>
      <c r="J37" s="45">
        <f>+J11*'Resumen operativo'!$E12</f>
        <v/>
      </c>
      <c r="K37" s="45">
        <f>+K11*'Resumen operativo'!$E12</f>
        <v/>
      </c>
      <c r="L37" s="45">
        <f>+L11*'Resumen operativo'!$E12</f>
        <v/>
      </c>
      <c r="M37" s="45">
        <f>+M11*'Resumen operativo'!$E12</f>
        <v/>
      </c>
      <c r="N37" s="45">
        <f>+N11*'Resumen operativo'!$E12</f>
        <v/>
      </c>
      <c r="O37" s="45">
        <f>+O11*'Resumen operativo'!$E12</f>
        <v/>
      </c>
      <c r="P37" s="80">
        <f>SUM(D37:O37)</f>
        <v/>
      </c>
      <c r="Q37" s="45">
        <f>+Q11*'Resumen operativo'!$E12</f>
        <v/>
      </c>
      <c r="R37" s="45">
        <f>+R11*'Resumen operativo'!$E12</f>
        <v/>
      </c>
      <c r="S37" s="45">
        <f>+S11*'Resumen operativo'!$E12</f>
        <v/>
      </c>
      <c r="T37" s="45">
        <f>+T11*'Resumen operativo'!$E12</f>
        <v/>
      </c>
      <c r="U37" s="45">
        <f>+U11*'Resumen operativo'!$E12</f>
        <v/>
      </c>
      <c r="V37" s="45">
        <f>+V11*'Resumen operativo'!$E12</f>
        <v/>
      </c>
      <c r="W37" s="45">
        <f>+W11*'Resumen operativo'!$E12</f>
        <v/>
      </c>
      <c r="X37" s="45">
        <f>+X11*'Resumen operativo'!$E12</f>
        <v/>
      </c>
      <c r="Y37" s="45">
        <f>+Y11*'Resumen operativo'!$E12</f>
        <v/>
      </c>
      <c r="Z37" s="45">
        <f>+Z11*'Resumen operativo'!$E12</f>
        <v/>
      </c>
      <c r="AA37" s="45">
        <f>+AA11*'Resumen operativo'!$E12</f>
        <v/>
      </c>
      <c r="AB37" s="45">
        <f>+AB11*'Resumen operativo'!$E12</f>
        <v/>
      </c>
      <c r="AC37" s="80">
        <f>SUM(Q37:AB37)</f>
        <v/>
      </c>
    </row>
    <row r="38" ht="14.25" customHeight="1">
      <c r="B38" s="82" t="n">
        <v>10</v>
      </c>
      <c r="C38" s="88">
        <f>+C25</f>
        <v/>
      </c>
      <c r="D38" s="45">
        <f>+D12*'Resumen operativo'!$E13</f>
        <v/>
      </c>
      <c r="E38" s="45">
        <f>+E12*'Resumen operativo'!$E13</f>
        <v/>
      </c>
      <c r="F38" s="45">
        <f>+F12*'Resumen operativo'!$E13</f>
        <v/>
      </c>
      <c r="G38" s="45">
        <f>+G12*'Resumen operativo'!$E13</f>
        <v/>
      </c>
      <c r="H38" s="45">
        <f>+H12*'Resumen operativo'!$E13</f>
        <v/>
      </c>
      <c r="I38" s="45">
        <f>+I12*'Resumen operativo'!$E13</f>
        <v/>
      </c>
      <c r="J38" s="45">
        <f>+J12*'Resumen operativo'!$E13</f>
        <v/>
      </c>
      <c r="K38" s="45">
        <f>+K12*'Resumen operativo'!$E13</f>
        <v/>
      </c>
      <c r="L38" s="45">
        <f>+L12*'Resumen operativo'!$E13</f>
        <v/>
      </c>
      <c r="M38" s="45">
        <f>+M12*'Resumen operativo'!$E13</f>
        <v/>
      </c>
      <c r="N38" s="45">
        <f>+N12*'Resumen operativo'!$E13</f>
        <v/>
      </c>
      <c r="O38" s="45">
        <f>+O12*'Resumen operativo'!$E13</f>
        <v/>
      </c>
      <c r="P38" s="83">
        <f>SUM(D38:O38)</f>
        <v/>
      </c>
      <c r="Q38" s="45">
        <f>+Q12*'Resumen operativo'!$E13</f>
        <v/>
      </c>
      <c r="R38" s="45">
        <f>+R12*'Resumen operativo'!$E13</f>
        <v/>
      </c>
      <c r="S38" s="45">
        <f>+S12*'Resumen operativo'!$E13</f>
        <v/>
      </c>
      <c r="T38" s="45">
        <f>+T12*'Resumen operativo'!$E13</f>
        <v/>
      </c>
      <c r="U38" s="45">
        <f>+U12*'Resumen operativo'!$E13</f>
        <v/>
      </c>
      <c r="V38" s="45">
        <f>+V12*'Resumen operativo'!$E13</f>
        <v/>
      </c>
      <c r="W38" s="45">
        <f>+W12*'Resumen operativo'!$E13</f>
        <v/>
      </c>
      <c r="X38" s="45">
        <f>+X12*'Resumen operativo'!$E13</f>
        <v/>
      </c>
      <c r="Y38" s="45">
        <f>+Y12*'Resumen operativo'!$E13</f>
        <v/>
      </c>
      <c r="Z38" s="45">
        <f>+Z12*'Resumen operativo'!$E13</f>
        <v/>
      </c>
      <c r="AA38" s="45">
        <f>+AA12*'Resumen operativo'!$E13</f>
        <v/>
      </c>
      <c r="AB38" s="45">
        <f>+AB12*'Resumen operativo'!$E13</f>
        <v/>
      </c>
      <c r="AC38" s="83">
        <f>SUM(Q38:AB38)</f>
        <v/>
      </c>
    </row>
    <row r="39" ht="14.25" customHeight="1">
      <c r="B39" s="84" t="n"/>
      <c r="C39" s="85" t="inlineStr">
        <is>
          <t xml:space="preserve">Total de costos de M.P. </t>
        </is>
      </c>
      <c r="D39" s="89">
        <f>SUM(D29:D38)</f>
        <v/>
      </c>
      <c r="E39" s="89">
        <f>SUM(E29:E38)</f>
        <v/>
      </c>
      <c r="F39" s="89">
        <f>SUM(F29:F38)</f>
        <v/>
      </c>
      <c r="G39" s="89">
        <f>SUM(G29:G38)</f>
        <v/>
      </c>
      <c r="H39" s="89">
        <f>SUM(H29:H38)</f>
        <v/>
      </c>
      <c r="I39" s="89">
        <f>SUM(I29:I38)</f>
        <v/>
      </c>
      <c r="J39" s="89">
        <f>SUM(J29:J38)</f>
        <v/>
      </c>
      <c r="K39" s="89">
        <f>SUM(K29:K38)</f>
        <v/>
      </c>
      <c r="L39" s="89">
        <f>SUM(L29:L38)</f>
        <v/>
      </c>
      <c r="M39" s="89">
        <f>SUM(M29:M38)</f>
        <v/>
      </c>
      <c r="N39" s="89">
        <f>SUM(N29:N38)</f>
        <v/>
      </c>
      <c r="O39" s="89">
        <f>SUM(O29:O38)</f>
        <v/>
      </c>
      <c r="P39" s="90">
        <f>SUM(P29:P38)</f>
        <v/>
      </c>
      <c r="Q39" s="89">
        <f>SUM(Q29:Q38)</f>
        <v/>
      </c>
      <c r="R39" s="89">
        <f>SUM(R29:R38)</f>
        <v/>
      </c>
      <c r="S39" s="89">
        <f>SUM(S29:S38)</f>
        <v/>
      </c>
      <c r="T39" s="89">
        <f>SUM(T29:T38)</f>
        <v/>
      </c>
      <c r="U39" s="89">
        <f>SUM(U29:U38)</f>
        <v/>
      </c>
      <c r="V39" s="89">
        <f>SUM(V29:V38)</f>
        <v/>
      </c>
      <c r="W39" s="89">
        <f>SUM(W29:W38)</f>
        <v/>
      </c>
      <c r="X39" s="89">
        <f>SUM(X29:X38)</f>
        <v/>
      </c>
      <c r="Y39" s="89">
        <f>SUM(Y29:Y38)</f>
        <v/>
      </c>
      <c r="Z39" s="89">
        <f>SUM(Z29:Z38)</f>
        <v/>
      </c>
      <c r="AA39" s="89">
        <f>SUM(AA29:AA38)</f>
        <v/>
      </c>
      <c r="AB39" s="89">
        <f>SUM(AB29:AB38)</f>
        <v/>
      </c>
      <c r="AC39" s="90">
        <f>SUM(AC29:AC38)</f>
        <v/>
      </c>
    </row>
    <row r="40" ht="14.25" customHeight="1"/>
    <row r="41" ht="14.25" customHeight="1"/>
    <row r="42" ht="14.25" customHeight="1">
      <c r="B42" s="91" t="inlineStr">
        <is>
          <t>#</t>
        </is>
      </c>
      <c r="C42" s="92" t="inlineStr">
        <is>
          <t>Clientes nuevos</t>
        </is>
      </c>
      <c r="D42" s="93" t="inlineStr">
        <is>
          <t>Mes 1</t>
        </is>
      </c>
      <c r="E42" s="92" t="inlineStr">
        <is>
          <t>Mes 2</t>
        </is>
      </c>
      <c r="F42" s="92" t="inlineStr">
        <is>
          <t>Mes 3</t>
        </is>
      </c>
      <c r="G42" s="92" t="inlineStr">
        <is>
          <t>Mes 4</t>
        </is>
      </c>
      <c r="H42" s="92" t="inlineStr">
        <is>
          <t>Mes 5</t>
        </is>
      </c>
      <c r="I42" s="92" t="inlineStr">
        <is>
          <t>Mes 6</t>
        </is>
      </c>
      <c r="J42" s="92" t="inlineStr">
        <is>
          <t>Mes 7</t>
        </is>
      </c>
      <c r="K42" s="92" t="inlineStr">
        <is>
          <t>Mes 8</t>
        </is>
      </c>
      <c r="L42" s="92" t="inlineStr">
        <is>
          <t>Mes 9</t>
        </is>
      </c>
      <c r="M42" s="92" t="inlineStr">
        <is>
          <t>Mes 10</t>
        </is>
      </c>
      <c r="N42" s="92" t="inlineStr">
        <is>
          <t>Mes 11</t>
        </is>
      </c>
      <c r="O42" s="92" t="inlineStr">
        <is>
          <t>Mes 12</t>
        </is>
      </c>
      <c r="P42" s="94" t="inlineStr">
        <is>
          <t>Total</t>
        </is>
      </c>
      <c r="Q42" s="93" t="inlineStr">
        <is>
          <t>Mes 1</t>
        </is>
      </c>
      <c r="R42" s="92" t="inlineStr">
        <is>
          <t>Mes 2</t>
        </is>
      </c>
      <c r="S42" s="92" t="inlineStr">
        <is>
          <t>Mes 3</t>
        </is>
      </c>
      <c r="T42" s="92" t="inlineStr">
        <is>
          <t>Mes 4</t>
        </is>
      </c>
      <c r="U42" s="92" t="inlineStr">
        <is>
          <t>Mes 5</t>
        </is>
      </c>
      <c r="V42" s="92" t="inlineStr">
        <is>
          <t>Mes 6</t>
        </is>
      </c>
      <c r="W42" s="92" t="inlineStr">
        <is>
          <t>Mes 7</t>
        </is>
      </c>
      <c r="X42" s="92" t="inlineStr">
        <is>
          <t>Mes 8</t>
        </is>
      </c>
      <c r="Y42" s="92" t="inlineStr">
        <is>
          <t>Mes 9</t>
        </is>
      </c>
      <c r="Z42" s="92" t="inlineStr">
        <is>
          <t>Mes 10</t>
        </is>
      </c>
      <c r="AA42" s="92" t="inlineStr">
        <is>
          <t>Mes 11</t>
        </is>
      </c>
      <c r="AB42" s="92" t="inlineStr">
        <is>
          <t>Mes 12</t>
        </is>
      </c>
      <c r="AC42" s="94" t="inlineStr">
        <is>
          <t>Total</t>
        </is>
      </c>
    </row>
    <row r="43" ht="14.25" customHeight="1">
      <c r="B43" s="95" t="n">
        <v>1</v>
      </c>
      <c r="C43" s="96">
        <f>+IF('Resumen operativo'!C4&lt;&gt;"",'Resumen operativo'!C4,"")</f>
        <v/>
      </c>
      <c r="D43" s="96" t="n"/>
      <c r="E43" s="96" t="n"/>
      <c r="F43" s="96" t="n"/>
      <c r="G43" s="96" t="n"/>
      <c r="H43" s="96" t="n"/>
      <c r="I43" s="96" t="n"/>
      <c r="J43" s="96" t="n"/>
      <c r="K43" s="96" t="n"/>
      <c r="L43" s="96" t="n"/>
      <c r="M43" s="96" t="n"/>
      <c r="N43" s="96" t="n"/>
      <c r="O43" s="96" t="n"/>
      <c r="P43" s="97">
        <f>+O43</f>
        <v/>
      </c>
      <c r="Q43" s="96" t="n"/>
      <c r="R43" s="96" t="n"/>
      <c r="S43" s="96" t="n"/>
      <c r="T43" s="96" t="n"/>
      <c r="U43" s="96" t="n"/>
      <c r="V43" s="96" t="n"/>
      <c r="W43" s="96" t="n"/>
      <c r="X43" s="96" t="n"/>
      <c r="Y43" s="96" t="n"/>
      <c r="Z43" s="96" t="n"/>
      <c r="AA43" s="96" t="n"/>
      <c r="AB43" s="96" t="n"/>
      <c r="AC43" s="97">
        <f>+AB43</f>
        <v/>
      </c>
    </row>
    <row r="44" ht="14.25" customHeight="1">
      <c r="B44" s="98" t="n">
        <v>2</v>
      </c>
      <c r="C44" s="65">
        <f>+IF('Resumen operativo'!C5&lt;&gt;"",'Resumen operativo'!C5,"")</f>
        <v/>
      </c>
      <c r="D44" s="68" t="n"/>
      <c r="E44" s="68" t="n"/>
      <c r="F44" s="68" t="n"/>
      <c r="G44" s="68" t="n"/>
      <c r="H44" s="68" t="n"/>
      <c r="I44" s="68" t="n"/>
      <c r="J44" s="68" t="n"/>
      <c r="K44" s="68" t="n"/>
      <c r="L44" s="68" t="n"/>
      <c r="M44" s="68" t="n"/>
      <c r="N44" s="68" t="n"/>
      <c r="O44" s="68" t="n"/>
      <c r="P44" s="99">
        <f>+O44</f>
        <v/>
      </c>
      <c r="Q44" s="68" t="n"/>
      <c r="R44" s="68" t="n"/>
      <c r="S44" s="68" t="n"/>
      <c r="T44" s="68" t="n"/>
      <c r="U44" s="68" t="n"/>
      <c r="V44" s="68" t="n"/>
      <c r="W44" s="68" t="n"/>
      <c r="X44" s="68" t="n"/>
      <c r="Y44" s="68" t="n"/>
      <c r="Z44" s="68" t="n"/>
      <c r="AA44" s="68" t="n"/>
      <c r="AB44" s="68" t="n"/>
      <c r="AC44" s="99">
        <f>+AB44</f>
        <v/>
      </c>
    </row>
    <row r="45" ht="14.25" customHeight="1">
      <c r="B45" s="98" t="n">
        <v>3</v>
      </c>
      <c r="C45" s="65">
        <f>+IF('Resumen operativo'!C6&lt;&gt;"",'Resumen operativo'!C6,"")</f>
        <v/>
      </c>
      <c r="D45" s="68" t="n"/>
      <c r="E45" s="68" t="n"/>
      <c r="F45" s="68" t="n"/>
      <c r="G45" s="68" t="n"/>
      <c r="H45" s="68" t="n"/>
      <c r="I45" s="68" t="n"/>
      <c r="J45" s="68" t="n"/>
      <c r="K45" s="68" t="n"/>
      <c r="L45" s="68" t="n"/>
      <c r="M45" s="68" t="n"/>
      <c r="N45" s="68" t="n"/>
      <c r="O45" s="68" t="n"/>
      <c r="P45" s="99">
        <f>+O45</f>
        <v/>
      </c>
      <c r="Q45" s="68" t="n"/>
      <c r="R45" s="68" t="n"/>
      <c r="S45" s="68" t="n"/>
      <c r="T45" s="68" t="n"/>
      <c r="U45" s="68" t="n"/>
      <c r="V45" s="68" t="n"/>
      <c r="W45" s="68" t="n"/>
      <c r="X45" s="68" t="n"/>
      <c r="Y45" s="68" t="n"/>
      <c r="Z45" s="68" t="n"/>
      <c r="AA45" s="68" t="n"/>
      <c r="AB45" s="68" t="n"/>
      <c r="AC45" s="99">
        <f>+AB45</f>
        <v/>
      </c>
    </row>
    <row r="46" ht="14.25" customHeight="1">
      <c r="B46" s="98" t="n">
        <v>4</v>
      </c>
      <c r="C46" s="65">
        <f>+IF('Resumen operativo'!C7&lt;&gt;"",'Resumen operativo'!C7,"")</f>
        <v/>
      </c>
      <c r="D46" s="68" t="n"/>
      <c r="E46" s="68" t="n"/>
      <c r="F46" s="68" t="n"/>
      <c r="G46" s="68" t="n"/>
      <c r="H46" s="68" t="n"/>
      <c r="I46" s="68" t="n"/>
      <c r="J46" s="68" t="n"/>
      <c r="K46" s="68" t="n"/>
      <c r="L46" s="68" t="n"/>
      <c r="M46" s="68" t="n"/>
      <c r="N46" s="68" t="n"/>
      <c r="O46" s="68" t="n"/>
      <c r="P46" s="99">
        <f>+O46</f>
        <v/>
      </c>
      <c r="Q46" s="68" t="n"/>
      <c r="R46" s="68" t="n"/>
      <c r="S46" s="68" t="n"/>
      <c r="T46" s="68" t="n"/>
      <c r="U46" s="68" t="n"/>
      <c r="V46" s="68" t="n"/>
      <c r="W46" s="68" t="n"/>
      <c r="X46" s="68" t="n"/>
      <c r="Y46" s="68" t="n"/>
      <c r="Z46" s="68" t="n"/>
      <c r="AA46" s="68" t="n"/>
      <c r="AB46" s="68" t="n"/>
      <c r="AC46" s="99">
        <f>+AB46</f>
        <v/>
      </c>
    </row>
    <row r="47" ht="14.25" customHeight="1">
      <c r="B47" s="98" t="n">
        <v>5</v>
      </c>
      <c r="C47" s="65">
        <f>+IF('Resumen operativo'!C8&lt;&gt;"",'Resumen operativo'!C8,"")</f>
        <v/>
      </c>
      <c r="D47" s="68" t="n"/>
      <c r="E47" s="68" t="n"/>
      <c r="F47" s="68" t="n"/>
      <c r="G47" s="68" t="n"/>
      <c r="H47" s="68" t="n"/>
      <c r="I47" s="68" t="n"/>
      <c r="J47" s="68" t="n"/>
      <c r="K47" s="68" t="n"/>
      <c r="L47" s="68" t="n"/>
      <c r="M47" s="68" t="n"/>
      <c r="N47" s="68" t="n"/>
      <c r="O47" s="68" t="n"/>
      <c r="P47" s="99">
        <f>+O47</f>
        <v/>
      </c>
      <c r="Q47" s="68" t="n"/>
      <c r="R47" s="68" t="n"/>
      <c r="S47" s="68" t="n"/>
      <c r="T47" s="68" t="n"/>
      <c r="U47" s="68" t="n"/>
      <c r="V47" s="68" t="n"/>
      <c r="W47" s="68" t="n"/>
      <c r="X47" s="68" t="n"/>
      <c r="Y47" s="68" t="n"/>
      <c r="Z47" s="68" t="n"/>
      <c r="AA47" s="68" t="n"/>
      <c r="AB47" s="68" t="n"/>
      <c r="AC47" s="99">
        <f>+AB47</f>
        <v/>
      </c>
    </row>
    <row r="48" ht="14.25" customHeight="1">
      <c r="B48" s="98" t="n">
        <v>6</v>
      </c>
      <c r="C48" s="65">
        <f>+IF('Resumen operativo'!C9&lt;&gt;"",'Resumen operativo'!C9,"")</f>
        <v/>
      </c>
      <c r="D48" s="68" t="n"/>
      <c r="E48" s="68" t="n"/>
      <c r="F48" s="68" t="n"/>
      <c r="G48" s="68" t="n"/>
      <c r="H48" s="68" t="n"/>
      <c r="I48" s="68" t="n"/>
      <c r="J48" s="68" t="n"/>
      <c r="K48" s="68" t="n"/>
      <c r="L48" s="68" t="n"/>
      <c r="M48" s="68" t="n"/>
      <c r="N48" s="68" t="n"/>
      <c r="O48" s="68" t="n"/>
      <c r="P48" s="99">
        <f>+O48</f>
        <v/>
      </c>
      <c r="Q48" s="68" t="n"/>
      <c r="R48" s="68" t="n"/>
      <c r="S48" s="68" t="n"/>
      <c r="T48" s="68" t="n"/>
      <c r="U48" s="68" t="n"/>
      <c r="V48" s="68" t="n"/>
      <c r="W48" s="68" t="n"/>
      <c r="X48" s="68" t="n"/>
      <c r="Y48" s="68" t="n"/>
      <c r="Z48" s="68" t="n"/>
      <c r="AA48" s="68" t="n"/>
      <c r="AB48" s="68" t="n"/>
      <c r="AC48" s="99">
        <f>+AB48</f>
        <v/>
      </c>
    </row>
    <row r="49" ht="14.25" customHeight="1">
      <c r="B49" s="98" t="n">
        <v>7</v>
      </c>
      <c r="C49" s="65">
        <f>+IF('Resumen operativo'!C10&lt;&gt;"",'Resumen operativo'!C10,"")</f>
        <v/>
      </c>
      <c r="D49" s="68" t="n"/>
      <c r="E49" s="68" t="n"/>
      <c r="F49" s="68" t="n"/>
      <c r="G49" s="68" t="n"/>
      <c r="H49" s="68" t="n"/>
      <c r="I49" s="68" t="n"/>
      <c r="J49" s="68" t="n"/>
      <c r="K49" s="68" t="n"/>
      <c r="L49" s="68" t="n"/>
      <c r="M49" s="68" t="n"/>
      <c r="N49" s="68" t="n"/>
      <c r="O49" s="68" t="n"/>
      <c r="P49" s="99">
        <f>+O49</f>
        <v/>
      </c>
      <c r="Q49" s="68" t="n"/>
      <c r="R49" s="68" t="n"/>
      <c r="S49" s="68" t="n"/>
      <c r="T49" s="68" t="n"/>
      <c r="U49" s="68" t="n"/>
      <c r="V49" s="68" t="n"/>
      <c r="W49" s="68" t="n"/>
      <c r="X49" s="68" t="n"/>
      <c r="Y49" s="68" t="n"/>
      <c r="Z49" s="68" t="n"/>
      <c r="AA49" s="68" t="n"/>
      <c r="AB49" s="68" t="n"/>
      <c r="AC49" s="99">
        <f>+AB49</f>
        <v/>
      </c>
    </row>
    <row r="50" ht="14.25" customHeight="1">
      <c r="B50" s="98" t="n">
        <v>8</v>
      </c>
      <c r="C50" s="65">
        <f>+IF('Resumen operativo'!C11&lt;&gt;"",'Resumen operativo'!C11,"")</f>
        <v/>
      </c>
      <c r="D50" s="68" t="n"/>
      <c r="E50" s="68" t="n"/>
      <c r="F50" s="68" t="n"/>
      <c r="G50" s="68" t="n"/>
      <c r="H50" s="68" t="n"/>
      <c r="I50" s="68" t="n"/>
      <c r="J50" s="68" t="n"/>
      <c r="K50" s="68" t="n"/>
      <c r="L50" s="68" t="n"/>
      <c r="M50" s="68" t="n"/>
      <c r="N50" s="68" t="n"/>
      <c r="O50" s="68" t="n"/>
      <c r="P50" s="99">
        <f>+O50</f>
        <v/>
      </c>
      <c r="Q50" s="68" t="n"/>
      <c r="R50" s="68" t="n"/>
      <c r="S50" s="68" t="n"/>
      <c r="T50" s="68" t="n"/>
      <c r="U50" s="68" t="n"/>
      <c r="V50" s="68" t="n"/>
      <c r="W50" s="68" t="n"/>
      <c r="X50" s="68" t="n"/>
      <c r="Y50" s="68" t="n"/>
      <c r="Z50" s="68" t="n"/>
      <c r="AA50" s="68" t="n"/>
      <c r="AB50" s="68" t="n"/>
      <c r="AC50" s="99">
        <f>+AB50</f>
        <v/>
      </c>
    </row>
    <row r="51" ht="14.25" customHeight="1">
      <c r="B51" s="98" t="n">
        <v>9</v>
      </c>
      <c r="C51" s="65">
        <f>+IF('Resumen operativo'!C12&lt;&gt;"",'Resumen operativo'!C12,"")</f>
        <v/>
      </c>
      <c r="D51" s="68" t="n"/>
      <c r="E51" s="68" t="n"/>
      <c r="F51" s="68" t="n"/>
      <c r="G51" s="68" t="n"/>
      <c r="H51" s="68" t="n"/>
      <c r="I51" s="68" t="n"/>
      <c r="J51" s="68" t="n"/>
      <c r="K51" s="68" t="n"/>
      <c r="L51" s="68" t="n"/>
      <c r="M51" s="68" t="n"/>
      <c r="N51" s="68" t="n"/>
      <c r="O51" s="68" t="n"/>
      <c r="P51" s="99">
        <f>+O51</f>
        <v/>
      </c>
      <c r="Q51" s="68" t="n"/>
      <c r="R51" s="68" t="n"/>
      <c r="S51" s="68" t="n"/>
      <c r="T51" s="68" t="n"/>
      <c r="U51" s="68" t="n"/>
      <c r="V51" s="68" t="n"/>
      <c r="W51" s="68" t="n"/>
      <c r="X51" s="68" t="n"/>
      <c r="Y51" s="68" t="n"/>
      <c r="Z51" s="68" t="n"/>
      <c r="AA51" s="68" t="n"/>
      <c r="AB51" s="68" t="n"/>
      <c r="AC51" s="99">
        <f>+AB51</f>
        <v/>
      </c>
    </row>
    <row r="52" ht="14.25" customHeight="1">
      <c r="B52" s="100" t="n">
        <v>10</v>
      </c>
      <c r="C52" s="101">
        <f>+IF('Resumen operativo'!C13&lt;&gt;"",'Resumen operativo'!C13,"")</f>
        <v/>
      </c>
      <c r="D52" s="70" t="n"/>
      <c r="E52" s="70" t="n"/>
      <c r="F52" s="70" t="n"/>
      <c r="G52" s="70" t="n"/>
      <c r="H52" s="70" t="n"/>
      <c r="I52" s="70" t="n"/>
      <c r="J52" s="70" t="n"/>
      <c r="K52" s="70" t="n"/>
      <c r="L52" s="70" t="n"/>
      <c r="M52" s="70" t="n"/>
      <c r="N52" s="70" t="n"/>
      <c r="O52" s="70" t="n"/>
      <c r="P52" s="102">
        <f>+O52</f>
        <v/>
      </c>
      <c r="Q52" s="70" t="n"/>
      <c r="R52" s="70" t="n"/>
      <c r="S52" s="70" t="n"/>
      <c r="T52" s="70" t="n"/>
      <c r="U52" s="70" t="n"/>
      <c r="V52" s="70" t="n"/>
      <c r="W52" s="70" t="n"/>
      <c r="X52" s="70" t="n"/>
      <c r="Y52" s="70" t="n"/>
      <c r="Z52" s="70" t="n"/>
      <c r="AA52" s="70" t="n"/>
      <c r="AB52" s="70" t="n"/>
      <c r="AC52" s="102">
        <f>+AB52</f>
        <v/>
      </c>
    </row>
    <row r="53" ht="14.25" customHeight="1">
      <c r="B53" s="74" t="n"/>
      <c r="C53" s="75" t="inlineStr">
        <is>
          <t>Todel de nuevos clientes</t>
        </is>
      </c>
      <c r="D53" s="76">
        <f>SUM(D43:D52)</f>
        <v/>
      </c>
      <c r="E53" s="76">
        <f>SUM(E43:E52)</f>
        <v/>
      </c>
      <c r="F53" s="76">
        <f>SUM(F43:F52)</f>
        <v/>
      </c>
      <c r="G53" s="76">
        <f>SUM(G43:G52)</f>
        <v/>
      </c>
      <c r="H53" s="76">
        <f>SUM(H43:H52)</f>
        <v/>
      </c>
      <c r="I53" s="76">
        <f>SUM(I43:I52)</f>
        <v/>
      </c>
      <c r="J53" s="76">
        <f>SUM(J43:J52)</f>
        <v/>
      </c>
      <c r="K53" s="76">
        <f>SUM(K43:K52)</f>
        <v/>
      </c>
      <c r="L53" s="76">
        <f>SUM(L43:L52)</f>
        <v/>
      </c>
      <c r="M53" s="76">
        <f>SUM(M43:M52)</f>
        <v/>
      </c>
      <c r="N53" s="76">
        <f>SUM(N43:N52)</f>
        <v/>
      </c>
      <c r="O53" s="76">
        <f>SUM(O43:O52)</f>
        <v/>
      </c>
      <c r="P53" s="103">
        <f>SUM(P43:P52)</f>
        <v/>
      </c>
      <c r="Q53" s="76">
        <f>SUM(Q43:Q52)</f>
        <v/>
      </c>
      <c r="R53" s="76">
        <f>SUM(R43:R52)</f>
        <v/>
      </c>
      <c r="S53" s="76">
        <f>SUM(S43:S52)</f>
        <v/>
      </c>
      <c r="T53" s="76">
        <f>SUM(T43:T52)</f>
        <v/>
      </c>
      <c r="U53" s="76">
        <f>SUM(U43:U52)</f>
        <v/>
      </c>
      <c r="V53" s="76">
        <f>SUM(V43:V52)</f>
        <v/>
      </c>
      <c r="W53" s="76">
        <f>SUM(W43:W52)</f>
        <v/>
      </c>
      <c r="X53" s="76">
        <f>SUM(X43:X52)</f>
        <v/>
      </c>
      <c r="Y53" s="76">
        <f>SUM(Y43:Y52)</f>
        <v/>
      </c>
      <c r="Z53" s="76">
        <f>SUM(Z43:Z52)</f>
        <v/>
      </c>
      <c r="AA53" s="76">
        <f>SUM(AA43:AA52)</f>
        <v/>
      </c>
      <c r="AB53" s="76">
        <f>SUM(AB43:AB52)</f>
        <v/>
      </c>
      <c r="AC53" s="103">
        <f>SUM(AC43:AC52)</f>
        <v/>
      </c>
    </row>
    <row r="54" ht="14.25" customHeight="1"/>
    <row r="55" ht="14.25" customHeight="1"/>
    <row r="56" ht="14.25" customHeight="1">
      <c r="B56" s="91" t="inlineStr">
        <is>
          <t>#</t>
        </is>
      </c>
      <c r="C56" s="92" t="inlineStr">
        <is>
          <t>Costo de adquisición</t>
        </is>
      </c>
      <c r="D56" s="93" t="inlineStr">
        <is>
          <t>Mes 1</t>
        </is>
      </c>
      <c r="E56" s="92" t="inlineStr">
        <is>
          <t>Mes 2</t>
        </is>
      </c>
      <c r="F56" s="92" t="inlineStr">
        <is>
          <t>Mes 3</t>
        </is>
      </c>
      <c r="G56" s="92" t="inlineStr">
        <is>
          <t>Mes 4</t>
        </is>
      </c>
      <c r="H56" s="92" t="inlineStr">
        <is>
          <t>Mes 5</t>
        </is>
      </c>
      <c r="I56" s="92" t="inlineStr">
        <is>
          <t>Mes 6</t>
        </is>
      </c>
      <c r="J56" s="92" t="inlineStr">
        <is>
          <t>Mes 7</t>
        </is>
      </c>
      <c r="K56" s="92" t="inlineStr">
        <is>
          <t>Mes 8</t>
        </is>
      </c>
      <c r="L56" s="92" t="inlineStr">
        <is>
          <t>Mes 9</t>
        </is>
      </c>
      <c r="M56" s="92" t="inlineStr">
        <is>
          <t>Mes 10</t>
        </is>
      </c>
      <c r="N56" s="92" t="inlineStr">
        <is>
          <t>Mes 11</t>
        </is>
      </c>
      <c r="O56" s="92" t="inlineStr">
        <is>
          <t>Mes 12</t>
        </is>
      </c>
      <c r="P56" s="94" t="inlineStr">
        <is>
          <t>Total</t>
        </is>
      </c>
      <c r="Q56" s="93" t="inlineStr">
        <is>
          <t>Mes 1</t>
        </is>
      </c>
      <c r="R56" s="92" t="inlineStr">
        <is>
          <t>Mes 2</t>
        </is>
      </c>
      <c r="S56" s="92" t="inlineStr">
        <is>
          <t>Mes 3</t>
        </is>
      </c>
      <c r="T56" s="92" t="inlineStr">
        <is>
          <t>Mes 4</t>
        </is>
      </c>
      <c r="U56" s="92" t="inlineStr">
        <is>
          <t>Mes 5</t>
        </is>
      </c>
      <c r="V56" s="92" t="inlineStr">
        <is>
          <t>Mes 6</t>
        </is>
      </c>
      <c r="W56" s="92" t="inlineStr">
        <is>
          <t>Mes 7</t>
        </is>
      </c>
      <c r="X56" s="92" t="inlineStr">
        <is>
          <t>Mes 8</t>
        </is>
      </c>
      <c r="Y56" s="92" t="inlineStr">
        <is>
          <t>Mes 9</t>
        </is>
      </c>
      <c r="Z56" s="92" t="inlineStr">
        <is>
          <t>Mes 10</t>
        </is>
      </c>
      <c r="AA56" s="92" t="inlineStr">
        <is>
          <t>Mes 11</t>
        </is>
      </c>
      <c r="AB56" s="92" t="inlineStr">
        <is>
          <t>Mes 12</t>
        </is>
      </c>
      <c r="AC56" s="94" t="inlineStr">
        <is>
          <t>Total</t>
        </is>
      </c>
    </row>
    <row r="57" ht="14.25" customHeight="1">
      <c r="B57" s="104" t="n">
        <v>1</v>
      </c>
      <c r="C57" s="96">
        <f>+C43</f>
        <v/>
      </c>
      <c r="D57" s="96">
        <f>+D43*'Resumen operativo'!$F4</f>
        <v/>
      </c>
      <c r="E57" s="96">
        <f>+E43*'Resumen operativo'!$F4</f>
        <v/>
      </c>
      <c r="F57" s="96">
        <f>+F43*'Resumen operativo'!$F4</f>
        <v/>
      </c>
      <c r="G57" s="96">
        <f>+G43*'Resumen operativo'!$F4</f>
        <v/>
      </c>
      <c r="H57" s="96">
        <f>+H43*'Resumen operativo'!$F4</f>
        <v/>
      </c>
      <c r="I57" s="96">
        <f>+I43*'Resumen operativo'!$F4</f>
        <v/>
      </c>
      <c r="J57" s="96">
        <f>+J43*'Resumen operativo'!$F4</f>
        <v/>
      </c>
      <c r="K57" s="96">
        <f>+K43*'Resumen operativo'!$F4</f>
        <v/>
      </c>
      <c r="L57" s="96">
        <f>+L43*'Resumen operativo'!$F4</f>
        <v/>
      </c>
      <c r="M57" s="96">
        <f>+M43*'Resumen operativo'!$F4</f>
        <v/>
      </c>
      <c r="N57" s="96">
        <f>+N43*'Resumen operativo'!$F4</f>
        <v/>
      </c>
      <c r="O57" s="96">
        <f>+O43*'Resumen operativo'!$F4</f>
        <v/>
      </c>
      <c r="P57" s="97">
        <f>+O57</f>
        <v/>
      </c>
      <c r="Q57" s="96">
        <f>+Q43*'Resumen operativo'!$F4</f>
        <v/>
      </c>
      <c r="R57" s="96">
        <f>+R43*'Resumen operativo'!$F4</f>
        <v/>
      </c>
      <c r="S57" s="96">
        <f>+S43*'Resumen operativo'!$F4</f>
        <v/>
      </c>
      <c r="T57" s="96">
        <f>+T43*'Resumen operativo'!$F4</f>
        <v/>
      </c>
      <c r="U57" s="96">
        <f>+U43*'Resumen operativo'!$F4</f>
        <v/>
      </c>
      <c r="V57" s="96">
        <f>+V43*'Resumen operativo'!$F4</f>
        <v/>
      </c>
      <c r="W57" s="96">
        <f>+W43*'Resumen operativo'!$F4</f>
        <v/>
      </c>
      <c r="X57" s="96">
        <f>+X43*'Resumen operativo'!$F4</f>
        <v/>
      </c>
      <c r="Y57" s="96">
        <f>+Y43*'Resumen operativo'!$F4</f>
        <v/>
      </c>
      <c r="Z57" s="96">
        <f>+Z43*'Resumen operativo'!$F4</f>
        <v/>
      </c>
      <c r="AA57" s="96">
        <f>+AA43*'Resumen operativo'!$F4</f>
        <v/>
      </c>
      <c r="AB57" s="96">
        <f>+AB43*'Resumen operativo'!$F4</f>
        <v/>
      </c>
      <c r="AC57" s="97">
        <f>+AB57</f>
        <v/>
      </c>
    </row>
    <row r="58" ht="14.25" customHeight="1">
      <c r="B58" s="105" t="n">
        <v>2</v>
      </c>
      <c r="C58" s="65">
        <f>+C44</f>
        <v/>
      </c>
      <c r="D58" s="68">
        <f>+D44*'Resumen operativo'!$F5</f>
        <v/>
      </c>
      <c r="E58" s="68">
        <f>+E44*'Resumen operativo'!$F5</f>
        <v/>
      </c>
      <c r="F58" s="68">
        <f>+F44*'Resumen operativo'!$F5</f>
        <v/>
      </c>
      <c r="G58" s="68">
        <f>+G44*'Resumen operativo'!$F5</f>
        <v/>
      </c>
      <c r="H58" s="68">
        <f>+H44*'Resumen operativo'!$F5</f>
        <v/>
      </c>
      <c r="I58" s="68">
        <f>+I44*'Resumen operativo'!$F5</f>
        <v/>
      </c>
      <c r="J58" s="68">
        <f>+J44*'Resumen operativo'!$F5</f>
        <v/>
      </c>
      <c r="K58" s="68">
        <f>+K44*'Resumen operativo'!$F5</f>
        <v/>
      </c>
      <c r="L58" s="68">
        <f>+L44*'Resumen operativo'!$F5</f>
        <v/>
      </c>
      <c r="M58" s="68">
        <f>+M44*'Resumen operativo'!$F5</f>
        <v/>
      </c>
      <c r="N58" s="68">
        <f>+N44*'Resumen operativo'!$F5</f>
        <v/>
      </c>
      <c r="O58" s="68">
        <f>+O44*'Resumen operativo'!$F5</f>
        <v/>
      </c>
      <c r="P58" s="99">
        <f>+O58</f>
        <v/>
      </c>
      <c r="Q58" s="68">
        <f>+Q44*'Resumen operativo'!$F5</f>
        <v/>
      </c>
      <c r="R58" s="68">
        <f>+R44*'Resumen operativo'!$F5</f>
        <v/>
      </c>
      <c r="S58" s="68">
        <f>+S44*'Resumen operativo'!$F5</f>
        <v/>
      </c>
      <c r="T58" s="68">
        <f>+T44*'Resumen operativo'!$F5</f>
        <v/>
      </c>
      <c r="U58" s="68">
        <f>+U44*'Resumen operativo'!$F5</f>
        <v/>
      </c>
      <c r="V58" s="68">
        <f>+V44*'Resumen operativo'!$F5</f>
        <v/>
      </c>
      <c r="W58" s="68">
        <f>+W44*'Resumen operativo'!$F5</f>
        <v/>
      </c>
      <c r="X58" s="68">
        <f>+X44*'Resumen operativo'!$F5</f>
        <v/>
      </c>
      <c r="Y58" s="68">
        <f>+Y44*'Resumen operativo'!$F5</f>
        <v/>
      </c>
      <c r="Z58" s="68">
        <f>+Z44*'Resumen operativo'!$F5</f>
        <v/>
      </c>
      <c r="AA58" s="68">
        <f>+AA44*'Resumen operativo'!$F5</f>
        <v/>
      </c>
      <c r="AB58" s="68">
        <f>+AB44*'Resumen operativo'!$F5</f>
        <v/>
      </c>
      <c r="AC58" s="99">
        <f>+AB58</f>
        <v/>
      </c>
    </row>
    <row r="59" ht="14.25" customHeight="1">
      <c r="B59" s="105" t="n">
        <v>3</v>
      </c>
      <c r="C59" s="65">
        <f>+C45</f>
        <v/>
      </c>
      <c r="D59" s="68">
        <f>+D45*'Resumen operativo'!$F6</f>
        <v/>
      </c>
      <c r="E59" s="68">
        <f>+E45*'Resumen operativo'!$F6</f>
        <v/>
      </c>
      <c r="F59" s="68">
        <f>+F45*'Resumen operativo'!$F6</f>
        <v/>
      </c>
      <c r="G59" s="68">
        <f>+G45*'Resumen operativo'!$F6</f>
        <v/>
      </c>
      <c r="H59" s="68">
        <f>+H45*'Resumen operativo'!$F6</f>
        <v/>
      </c>
      <c r="I59" s="68">
        <f>+I45*'Resumen operativo'!$F6</f>
        <v/>
      </c>
      <c r="J59" s="68">
        <f>+J45*'Resumen operativo'!$F6</f>
        <v/>
      </c>
      <c r="K59" s="68">
        <f>+K45*'Resumen operativo'!$F6</f>
        <v/>
      </c>
      <c r="L59" s="68">
        <f>+L45*'Resumen operativo'!$F6</f>
        <v/>
      </c>
      <c r="M59" s="68">
        <f>+M45*'Resumen operativo'!$F6</f>
        <v/>
      </c>
      <c r="N59" s="68">
        <f>+N45*'Resumen operativo'!$F6</f>
        <v/>
      </c>
      <c r="O59" s="68">
        <f>+O45*'Resumen operativo'!$F6</f>
        <v/>
      </c>
      <c r="P59" s="99">
        <f>+O59</f>
        <v/>
      </c>
      <c r="Q59" s="68">
        <f>+Q45*'Resumen operativo'!$F6</f>
        <v/>
      </c>
      <c r="R59" s="68">
        <f>+R45*'Resumen operativo'!$F6</f>
        <v/>
      </c>
      <c r="S59" s="68">
        <f>+S45*'Resumen operativo'!$F6</f>
        <v/>
      </c>
      <c r="T59" s="68">
        <f>+T45*'Resumen operativo'!$F6</f>
        <v/>
      </c>
      <c r="U59" s="68">
        <f>+U45*'Resumen operativo'!$F6</f>
        <v/>
      </c>
      <c r="V59" s="68">
        <f>+V45*'Resumen operativo'!$F6</f>
        <v/>
      </c>
      <c r="W59" s="68">
        <f>+W45*'Resumen operativo'!$F6</f>
        <v/>
      </c>
      <c r="X59" s="68">
        <f>+X45*'Resumen operativo'!$F6</f>
        <v/>
      </c>
      <c r="Y59" s="68">
        <f>+Y45*'Resumen operativo'!$F6</f>
        <v/>
      </c>
      <c r="Z59" s="68">
        <f>+Z45*'Resumen operativo'!$F6</f>
        <v/>
      </c>
      <c r="AA59" s="68">
        <f>+AA45*'Resumen operativo'!$F6</f>
        <v/>
      </c>
      <c r="AB59" s="68">
        <f>+AB45*'Resumen operativo'!$F6</f>
        <v/>
      </c>
      <c r="AC59" s="99">
        <f>+AB59</f>
        <v/>
      </c>
    </row>
    <row r="60" ht="14.25" customHeight="1">
      <c r="B60" s="105" t="n">
        <v>4</v>
      </c>
      <c r="C60" s="65">
        <f>+C46</f>
        <v/>
      </c>
      <c r="D60" s="68">
        <f>+D46*'Resumen operativo'!$F7</f>
        <v/>
      </c>
      <c r="E60" s="68">
        <f>+E46*'Resumen operativo'!$F7</f>
        <v/>
      </c>
      <c r="F60" s="68">
        <f>+F46*'Resumen operativo'!$F7</f>
        <v/>
      </c>
      <c r="G60" s="68">
        <f>+G46*'Resumen operativo'!$F7</f>
        <v/>
      </c>
      <c r="H60" s="68">
        <f>+H46*'Resumen operativo'!$F7</f>
        <v/>
      </c>
      <c r="I60" s="68">
        <f>+I46*'Resumen operativo'!$F7</f>
        <v/>
      </c>
      <c r="J60" s="68">
        <f>+J46*'Resumen operativo'!$F7</f>
        <v/>
      </c>
      <c r="K60" s="68">
        <f>+K46*'Resumen operativo'!$F7</f>
        <v/>
      </c>
      <c r="L60" s="68">
        <f>+L46*'Resumen operativo'!$F7</f>
        <v/>
      </c>
      <c r="M60" s="68">
        <f>+M46*'Resumen operativo'!$F7</f>
        <v/>
      </c>
      <c r="N60" s="68">
        <f>+N46*'Resumen operativo'!$F7</f>
        <v/>
      </c>
      <c r="O60" s="68">
        <f>+O46*'Resumen operativo'!$F7</f>
        <v/>
      </c>
      <c r="P60" s="99">
        <f>+O60</f>
        <v/>
      </c>
      <c r="Q60" s="68">
        <f>+Q46*'Resumen operativo'!$F7</f>
        <v/>
      </c>
      <c r="R60" s="68">
        <f>+R46*'Resumen operativo'!$F7</f>
        <v/>
      </c>
      <c r="S60" s="68">
        <f>+S46*'Resumen operativo'!$F7</f>
        <v/>
      </c>
      <c r="T60" s="68">
        <f>+T46*'Resumen operativo'!$F7</f>
        <v/>
      </c>
      <c r="U60" s="68">
        <f>+U46*'Resumen operativo'!$F7</f>
        <v/>
      </c>
      <c r="V60" s="68">
        <f>+V46*'Resumen operativo'!$F7</f>
        <v/>
      </c>
      <c r="W60" s="68">
        <f>+W46*'Resumen operativo'!$F7</f>
        <v/>
      </c>
      <c r="X60" s="68">
        <f>+X46*'Resumen operativo'!$F7</f>
        <v/>
      </c>
      <c r="Y60" s="68">
        <f>+Y46*'Resumen operativo'!$F7</f>
        <v/>
      </c>
      <c r="Z60" s="68">
        <f>+Z46*'Resumen operativo'!$F7</f>
        <v/>
      </c>
      <c r="AA60" s="68">
        <f>+AA46*'Resumen operativo'!$F7</f>
        <v/>
      </c>
      <c r="AB60" s="68">
        <f>+AB46*'Resumen operativo'!$F7</f>
        <v/>
      </c>
      <c r="AC60" s="99">
        <f>+AB60</f>
        <v/>
      </c>
    </row>
    <row r="61" ht="14.25" customHeight="1">
      <c r="B61" s="105" t="n">
        <v>5</v>
      </c>
      <c r="C61" s="65">
        <f>+C47</f>
        <v/>
      </c>
      <c r="D61" s="68">
        <f>+D47*'Resumen operativo'!$F8</f>
        <v/>
      </c>
      <c r="E61" s="68">
        <f>+E47*'Resumen operativo'!$F8</f>
        <v/>
      </c>
      <c r="F61" s="68">
        <f>+F47*'Resumen operativo'!$F8</f>
        <v/>
      </c>
      <c r="G61" s="68">
        <f>+G47*'Resumen operativo'!$F8</f>
        <v/>
      </c>
      <c r="H61" s="68">
        <f>+H47*'Resumen operativo'!$F8</f>
        <v/>
      </c>
      <c r="I61" s="68">
        <f>+I47*'Resumen operativo'!$F8</f>
        <v/>
      </c>
      <c r="J61" s="68">
        <f>+J47*'Resumen operativo'!$F8</f>
        <v/>
      </c>
      <c r="K61" s="68">
        <f>+K47*'Resumen operativo'!$F8</f>
        <v/>
      </c>
      <c r="L61" s="68">
        <f>+L47*'Resumen operativo'!$F8</f>
        <v/>
      </c>
      <c r="M61" s="68">
        <f>+M47*'Resumen operativo'!$F8</f>
        <v/>
      </c>
      <c r="N61" s="68">
        <f>+N47*'Resumen operativo'!$F8</f>
        <v/>
      </c>
      <c r="O61" s="68">
        <f>+O47*'Resumen operativo'!$F8</f>
        <v/>
      </c>
      <c r="P61" s="99">
        <f>+O61</f>
        <v/>
      </c>
      <c r="Q61" s="68">
        <f>+Q47*'Resumen operativo'!$F8</f>
        <v/>
      </c>
      <c r="R61" s="68">
        <f>+R47*'Resumen operativo'!$F8</f>
        <v/>
      </c>
      <c r="S61" s="68">
        <f>+S47*'Resumen operativo'!$F8</f>
        <v/>
      </c>
      <c r="T61" s="68">
        <f>+T47*'Resumen operativo'!$F8</f>
        <v/>
      </c>
      <c r="U61" s="68">
        <f>+U47*'Resumen operativo'!$F8</f>
        <v/>
      </c>
      <c r="V61" s="68">
        <f>+V47*'Resumen operativo'!$F8</f>
        <v/>
      </c>
      <c r="W61" s="68">
        <f>+W47*'Resumen operativo'!$F8</f>
        <v/>
      </c>
      <c r="X61" s="68">
        <f>+X47*'Resumen operativo'!$F8</f>
        <v/>
      </c>
      <c r="Y61" s="68">
        <f>+Y47*'Resumen operativo'!$F8</f>
        <v/>
      </c>
      <c r="Z61" s="68">
        <f>+Z47*'Resumen operativo'!$F8</f>
        <v/>
      </c>
      <c r="AA61" s="68">
        <f>+AA47*'Resumen operativo'!$F8</f>
        <v/>
      </c>
      <c r="AB61" s="68">
        <f>+AB47*'Resumen operativo'!$F8</f>
        <v/>
      </c>
      <c r="AC61" s="99">
        <f>+AB61</f>
        <v/>
      </c>
    </row>
    <row r="62" ht="14.25" customHeight="1">
      <c r="B62" s="105" t="n">
        <v>6</v>
      </c>
      <c r="C62" s="65">
        <f>+C48</f>
        <v/>
      </c>
      <c r="D62" s="68">
        <f>+D48*'Resumen operativo'!$F9</f>
        <v/>
      </c>
      <c r="E62" s="68">
        <f>+E48*'Resumen operativo'!$F9</f>
        <v/>
      </c>
      <c r="F62" s="68">
        <f>+F48*'Resumen operativo'!$F9</f>
        <v/>
      </c>
      <c r="G62" s="68">
        <f>+G48*'Resumen operativo'!$F9</f>
        <v/>
      </c>
      <c r="H62" s="68">
        <f>+H48*'Resumen operativo'!$F9</f>
        <v/>
      </c>
      <c r="I62" s="68">
        <f>+I48*'Resumen operativo'!$F9</f>
        <v/>
      </c>
      <c r="J62" s="68">
        <f>+J48*'Resumen operativo'!$F9</f>
        <v/>
      </c>
      <c r="K62" s="68">
        <f>+K48*'Resumen operativo'!$F9</f>
        <v/>
      </c>
      <c r="L62" s="68">
        <f>+L48*'Resumen operativo'!$F9</f>
        <v/>
      </c>
      <c r="M62" s="68">
        <f>+M48*'Resumen operativo'!$F9</f>
        <v/>
      </c>
      <c r="N62" s="68">
        <f>+N48*'Resumen operativo'!$F9</f>
        <v/>
      </c>
      <c r="O62" s="68">
        <f>+O48*'Resumen operativo'!$F9</f>
        <v/>
      </c>
      <c r="P62" s="99">
        <f>+O62</f>
        <v/>
      </c>
      <c r="Q62" s="68">
        <f>+Q48*'Resumen operativo'!$F9</f>
        <v/>
      </c>
      <c r="R62" s="68">
        <f>+R48*'Resumen operativo'!$F9</f>
        <v/>
      </c>
      <c r="S62" s="68">
        <f>+S48*'Resumen operativo'!$F9</f>
        <v/>
      </c>
      <c r="T62" s="68">
        <f>+T48*'Resumen operativo'!$F9</f>
        <v/>
      </c>
      <c r="U62" s="68">
        <f>+U48*'Resumen operativo'!$F9</f>
        <v/>
      </c>
      <c r="V62" s="68">
        <f>+V48*'Resumen operativo'!$F9</f>
        <v/>
      </c>
      <c r="W62" s="68">
        <f>+W48*'Resumen operativo'!$F9</f>
        <v/>
      </c>
      <c r="X62" s="68">
        <f>+X48*'Resumen operativo'!$F9</f>
        <v/>
      </c>
      <c r="Y62" s="68">
        <f>+Y48*'Resumen operativo'!$F9</f>
        <v/>
      </c>
      <c r="Z62" s="68">
        <f>+Z48*'Resumen operativo'!$F9</f>
        <v/>
      </c>
      <c r="AA62" s="68">
        <f>+AA48*'Resumen operativo'!$F9</f>
        <v/>
      </c>
      <c r="AB62" s="68">
        <f>+AB48*'Resumen operativo'!$F9</f>
        <v/>
      </c>
      <c r="AC62" s="99">
        <f>+AB62</f>
        <v/>
      </c>
    </row>
    <row r="63" ht="14.25" customHeight="1">
      <c r="B63" s="105" t="n">
        <v>7</v>
      </c>
      <c r="C63" s="65">
        <f>+C49</f>
        <v/>
      </c>
      <c r="D63" s="68">
        <f>+D49*'Resumen operativo'!$F10</f>
        <v/>
      </c>
      <c r="E63" s="68">
        <f>+E49*'Resumen operativo'!$F10</f>
        <v/>
      </c>
      <c r="F63" s="68">
        <f>+F49*'Resumen operativo'!$F10</f>
        <v/>
      </c>
      <c r="G63" s="68">
        <f>+G49*'Resumen operativo'!$F10</f>
        <v/>
      </c>
      <c r="H63" s="68">
        <f>+H49*'Resumen operativo'!$F10</f>
        <v/>
      </c>
      <c r="I63" s="68">
        <f>+I49*'Resumen operativo'!$F10</f>
        <v/>
      </c>
      <c r="J63" s="68">
        <f>+J49*'Resumen operativo'!$F10</f>
        <v/>
      </c>
      <c r="K63" s="68">
        <f>+K49*'Resumen operativo'!$F10</f>
        <v/>
      </c>
      <c r="L63" s="68">
        <f>+L49*'Resumen operativo'!$F10</f>
        <v/>
      </c>
      <c r="M63" s="68">
        <f>+M49*'Resumen operativo'!$F10</f>
        <v/>
      </c>
      <c r="N63" s="68">
        <f>+N49*'Resumen operativo'!$F10</f>
        <v/>
      </c>
      <c r="O63" s="68">
        <f>+O49*'Resumen operativo'!$F10</f>
        <v/>
      </c>
      <c r="P63" s="99">
        <f>+O63</f>
        <v/>
      </c>
      <c r="Q63" s="68">
        <f>+Q49*'Resumen operativo'!$F10</f>
        <v/>
      </c>
      <c r="R63" s="68">
        <f>+R49*'Resumen operativo'!$F10</f>
        <v/>
      </c>
      <c r="S63" s="68">
        <f>+S49*'Resumen operativo'!$F10</f>
        <v/>
      </c>
      <c r="T63" s="68">
        <f>+T49*'Resumen operativo'!$F10</f>
        <v/>
      </c>
      <c r="U63" s="68">
        <f>+U49*'Resumen operativo'!$F10</f>
        <v/>
      </c>
      <c r="V63" s="68">
        <f>+V49*'Resumen operativo'!$F10</f>
        <v/>
      </c>
      <c r="W63" s="68">
        <f>+W49*'Resumen operativo'!$F10</f>
        <v/>
      </c>
      <c r="X63" s="68">
        <f>+X49*'Resumen operativo'!$F10</f>
        <v/>
      </c>
      <c r="Y63" s="68">
        <f>+Y49*'Resumen operativo'!$F10</f>
        <v/>
      </c>
      <c r="Z63" s="68">
        <f>+Z49*'Resumen operativo'!$F10</f>
        <v/>
      </c>
      <c r="AA63" s="68">
        <f>+AA49*'Resumen operativo'!$F10</f>
        <v/>
      </c>
      <c r="AB63" s="68">
        <f>+AB49*'Resumen operativo'!$F10</f>
        <v/>
      </c>
      <c r="AC63" s="99">
        <f>+AB63</f>
        <v/>
      </c>
    </row>
    <row r="64" ht="14.25" customHeight="1">
      <c r="B64" s="105" t="n">
        <v>8</v>
      </c>
      <c r="C64" s="65">
        <f>+C50</f>
        <v/>
      </c>
      <c r="D64" s="68">
        <f>+D50*'Resumen operativo'!$F11</f>
        <v/>
      </c>
      <c r="E64" s="68">
        <f>+E50*'Resumen operativo'!$F11</f>
        <v/>
      </c>
      <c r="F64" s="68">
        <f>+F50*'Resumen operativo'!$F11</f>
        <v/>
      </c>
      <c r="G64" s="68">
        <f>+G50*'Resumen operativo'!$F11</f>
        <v/>
      </c>
      <c r="H64" s="68">
        <f>+H50*'Resumen operativo'!$F11</f>
        <v/>
      </c>
      <c r="I64" s="68">
        <f>+I50*'Resumen operativo'!$F11</f>
        <v/>
      </c>
      <c r="J64" s="68">
        <f>+J50*'Resumen operativo'!$F11</f>
        <v/>
      </c>
      <c r="K64" s="68">
        <f>+K50*'Resumen operativo'!$F11</f>
        <v/>
      </c>
      <c r="L64" s="68">
        <f>+L50*'Resumen operativo'!$F11</f>
        <v/>
      </c>
      <c r="M64" s="68">
        <f>+M50*'Resumen operativo'!$F11</f>
        <v/>
      </c>
      <c r="N64" s="68">
        <f>+N50*'Resumen operativo'!$F11</f>
        <v/>
      </c>
      <c r="O64" s="68">
        <f>+O50*'Resumen operativo'!$F11</f>
        <v/>
      </c>
      <c r="P64" s="99">
        <f>+O64</f>
        <v/>
      </c>
      <c r="Q64" s="68">
        <f>+Q50*'Resumen operativo'!$F11</f>
        <v/>
      </c>
      <c r="R64" s="68">
        <f>+R50*'Resumen operativo'!$F11</f>
        <v/>
      </c>
      <c r="S64" s="68">
        <f>+S50*'Resumen operativo'!$F11</f>
        <v/>
      </c>
      <c r="T64" s="68">
        <f>+T50*'Resumen operativo'!$F11</f>
        <v/>
      </c>
      <c r="U64" s="68">
        <f>+U50*'Resumen operativo'!$F11</f>
        <v/>
      </c>
      <c r="V64" s="68">
        <f>+V50*'Resumen operativo'!$F11</f>
        <v/>
      </c>
      <c r="W64" s="68">
        <f>+W50*'Resumen operativo'!$F11</f>
        <v/>
      </c>
      <c r="X64" s="68">
        <f>+X50*'Resumen operativo'!$F11</f>
        <v/>
      </c>
      <c r="Y64" s="68">
        <f>+Y50*'Resumen operativo'!$F11</f>
        <v/>
      </c>
      <c r="Z64" s="68">
        <f>+Z50*'Resumen operativo'!$F11</f>
        <v/>
      </c>
      <c r="AA64" s="68">
        <f>+AA50*'Resumen operativo'!$F11</f>
        <v/>
      </c>
      <c r="AB64" s="68">
        <f>+AB50*'Resumen operativo'!$F11</f>
        <v/>
      </c>
      <c r="AC64" s="99">
        <f>+AB64</f>
        <v/>
      </c>
    </row>
    <row r="65" ht="14.25" customHeight="1">
      <c r="B65" s="105" t="n">
        <v>9</v>
      </c>
      <c r="C65" s="65">
        <f>+C51</f>
        <v/>
      </c>
      <c r="D65" s="68">
        <f>+D51*'Resumen operativo'!$F12</f>
        <v/>
      </c>
      <c r="E65" s="68">
        <f>+E51*'Resumen operativo'!$F12</f>
        <v/>
      </c>
      <c r="F65" s="68">
        <f>+F51*'Resumen operativo'!$F12</f>
        <v/>
      </c>
      <c r="G65" s="68">
        <f>+G51*'Resumen operativo'!$F12</f>
        <v/>
      </c>
      <c r="H65" s="68">
        <f>+H51*'Resumen operativo'!$F12</f>
        <v/>
      </c>
      <c r="I65" s="68">
        <f>+I51*'Resumen operativo'!$F12</f>
        <v/>
      </c>
      <c r="J65" s="68">
        <f>+J51*'Resumen operativo'!$F12</f>
        <v/>
      </c>
      <c r="K65" s="68">
        <f>+K51*'Resumen operativo'!$F12</f>
        <v/>
      </c>
      <c r="L65" s="68">
        <f>+L51*'Resumen operativo'!$F12</f>
        <v/>
      </c>
      <c r="M65" s="68">
        <f>+M51*'Resumen operativo'!$F12</f>
        <v/>
      </c>
      <c r="N65" s="68">
        <f>+N51*'Resumen operativo'!$F12</f>
        <v/>
      </c>
      <c r="O65" s="68">
        <f>+O51*'Resumen operativo'!$F12</f>
        <v/>
      </c>
      <c r="P65" s="99">
        <f>+O65</f>
        <v/>
      </c>
      <c r="Q65" s="68">
        <f>+Q51*'Resumen operativo'!$F12</f>
        <v/>
      </c>
      <c r="R65" s="68">
        <f>+R51*'Resumen operativo'!$F12</f>
        <v/>
      </c>
      <c r="S65" s="68">
        <f>+S51*'Resumen operativo'!$F12</f>
        <v/>
      </c>
      <c r="T65" s="68">
        <f>+T51*'Resumen operativo'!$F12</f>
        <v/>
      </c>
      <c r="U65" s="68">
        <f>+U51*'Resumen operativo'!$F12</f>
        <v/>
      </c>
      <c r="V65" s="68">
        <f>+V51*'Resumen operativo'!$F12</f>
        <v/>
      </c>
      <c r="W65" s="68">
        <f>+W51*'Resumen operativo'!$F12</f>
        <v/>
      </c>
      <c r="X65" s="68">
        <f>+X51*'Resumen operativo'!$F12</f>
        <v/>
      </c>
      <c r="Y65" s="68">
        <f>+Y51*'Resumen operativo'!$F12</f>
        <v/>
      </c>
      <c r="Z65" s="68">
        <f>+Z51*'Resumen operativo'!$F12</f>
        <v/>
      </c>
      <c r="AA65" s="68">
        <f>+AA51*'Resumen operativo'!$F12</f>
        <v/>
      </c>
      <c r="AB65" s="68">
        <f>+AB51*'Resumen operativo'!$F12</f>
        <v/>
      </c>
      <c r="AC65" s="99">
        <f>+AB65</f>
        <v/>
      </c>
    </row>
    <row r="66" ht="14.25" customHeight="1">
      <c r="B66" s="106" t="n">
        <v>10</v>
      </c>
      <c r="C66" s="101">
        <f>+C52</f>
        <v/>
      </c>
      <c r="D66" s="70">
        <f>+D52*'Resumen operativo'!$F13</f>
        <v/>
      </c>
      <c r="E66" s="70">
        <f>+E52*'Resumen operativo'!$F13</f>
        <v/>
      </c>
      <c r="F66" s="70">
        <f>+F52*'Resumen operativo'!$F13</f>
        <v/>
      </c>
      <c r="G66" s="70">
        <f>+G52*'Resumen operativo'!$F13</f>
        <v/>
      </c>
      <c r="H66" s="70">
        <f>+H52*'Resumen operativo'!$F13</f>
        <v/>
      </c>
      <c r="I66" s="70">
        <f>+I52*'Resumen operativo'!$F13</f>
        <v/>
      </c>
      <c r="J66" s="70">
        <f>+J52*'Resumen operativo'!$F13</f>
        <v/>
      </c>
      <c r="K66" s="70">
        <f>+K52*'Resumen operativo'!$F13</f>
        <v/>
      </c>
      <c r="L66" s="70">
        <f>+L52*'Resumen operativo'!$F13</f>
        <v/>
      </c>
      <c r="M66" s="70">
        <f>+M52*'Resumen operativo'!$F13</f>
        <v/>
      </c>
      <c r="N66" s="70">
        <f>+N52*'Resumen operativo'!$F13</f>
        <v/>
      </c>
      <c r="O66" s="70">
        <f>+O52*'Resumen operativo'!$F13</f>
        <v/>
      </c>
      <c r="P66" s="102">
        <f>+O66</f>
        <v/>
      </c>
      <c r="Q66" s="70">
        <f>+Q52*'Resumen operativo'!$F13</f>
        <v/>
      </c>
      <c r="R66" s="70">
        <f>+R52*'Resumen operativo'!$F13</f>
        <v/>
      </c>
      <c r="S66" s="70">
        <f>+S52*'Resumen operativo'!$F13</f>
        <v/>
      </c>
      <c r="T66" s="70">
        <f>+T52*'Resumen operativo'!$F13</f>
        <v/>
      </c>
      <c r="U66" s="70">
        <f>+U52*'Resumen operativo'!$F13</f>
        <v/>
      </c>
      <c r="V66" s="70">
        <f>+V52*'Resumen operativo'!$F13</f>
        <v/>
      </c>
      <c r="W66" s="70">
        <f>+W52*'Resumen operativo'!$F13</f>
        <v/>
      </c>
      <c r="X66" s="70">
        <f>+X52*'Resumen operativo'!$F13</f>
        <v/>
      </c>
      <c r="Y66" s="70">
        <f>+Y52*'Resumen operativo'!$F13</f>
        <v/>
      </c>
      <c r="Z66" s="70">
        <f>+Z52*'Resumen operativo'!$F13</f>
        <v/>
      </c>
      <c r="AA66" s="70">
        <f>+AA52*'Resumen operativo'!$F13</f>
        <v/>
      </c>
      <c r="AB66" s="70">
        <f>+AB52*'Resumen operativo'!$F13</f>
        <v/>
      </c>
      <c r="AC66" s="102">
        <f>+AB66</f>
        <v/>
      </c>
    </row>
    <row r="67" ht="14.25" customHeight="1">
      <c r="B67" s="74" t="n"/>
      <c r="C67" s="75" t="inlineStr">
        <is>
          <t>Costo de adquisición total</t>
        </is>
      </c>
      <c r="D67" s="76">
        <f>SUM(D57:D66)</f>
        <v/>
      </c>
      <c r="E67" s="76">
        <f>SUM(E57:E66)</f>
        <v/>
      </c>
      <c r="F67" s="76">
        <f>SUM(F57:F66)</f>
        <v/>
      </c>
      <c r="G67" s="76">
        <f>SUM(G57:G66)</f>
        <v/>
      </c>
      <c r="H67" s="76">
        <f>SUM(H57:H66)</f>
        <v/>
      </c>
      <c r="I67" s="76">
        <f>SUM(I57:I66)</f>
        <v/>
      </c>
      <c r="J67" s="76">
        <f>SUM(J57:J66)</f>
        <v/>
      </c>
      <c r="K67" s="76">
        <f>SUM(K57:K66)</f>
        <v/>
      </c>
      <c r="L67" s="76">
        <f>SUM(L57:L66)</f>
        <v/>
      </c>
      <c r="M67" s="76">
        <f>SUM(M57:M66)</f>
        <v/>
      </c>
      <c r="N67" s="76">
        <f>SUM(N57:N66)</f>
        <v/>
      </c>
      <c r="O67" s="76">
        <f>SUM(O57:O66)</f>
        <v/>
      </c>
      <c r="P67" s="103">
        <f>SUM(P57:P66)</f>
        <v/>
      </c>
      <c r="Q67" s="76">
        <f>SUM(Q57:Q66)</f>
        <v/>
      </c>
      <c r="R67" s="76">
        <f>SUM(R57:R66)</f>
        <v/>
      </c>
      <c r="S67" s="76">
        <f>SUM(S57:S66)</f>
        <v/>
      </c>
      <c r="T67" s="76">
        <f>SUM(T57:T66)</f>
        <v/>
      </c>
      <c r="U67" s="76">
        <f>SUM(U57:U66)</f>
        <v/>
      </c>
      <c r="V67" s="76">
        <f>SUM(V57:V66)</f>
        <v/>
      </c>
      <c r="W67" s="76">
        <f>SUM(W57:W66)</f>
        <v/>
      </c>
      <c r="X67" s="76">
        <f>SUM(X57:X66)</f>
        <v/>
      </c>
      <c r="Y67" s="76">
        <f>SUM(Y57:Y66)</f>
        <v/>
      </c>
      <c r="Z67" s="76">
        <f>SUM(Z57:Z66)</f>
        <v/>
      </c>
      <c r="AA67" s="76">
        <f>SUM(AA57:AA66)</f>
        <v/>
      </c>
      <c r="AB67" s="76">
        <f>SUM(AB57:AB66)</f>
        <v/>
      </c>
      <c r="AC67" s="103">
        <f>SUM(AC57:AC66)</f>
        <v/>
      </c>
    </row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C55A11"/>
    <outlinePr summaryBelow="1" summaryRight="1"/>
    <pageSetUpPr/>
  </sheetPr>
  <dimension ref="A2:AL1000"/>
  <sheetViews>
    <sheetView topLeftCell="A13" workbookViewId="0">
      <selection activeCell="Z35" sqref="Z35"/>
    </sheetView>
  </sheetViews>
  <sheetFormatPr baseColWidth="10" defaultColWidth="14.453125" defaultRowHeight="15" customHeight="1"/>
  <cols>
    <col width="11.453125" customWidth="1" min="1" max="1"/>
    <col width="32.54296875" bestFit="1" customWidth="1" min="2" max="2"/>
    <col outlineLevel="1" width="13" customWidth="1" min="3" max="11"/>
    <col outlineLevel="1" width="14.54296875" customWidth="1" min="12" max="14"/>
    <col width="14.54296875" customWidth="1" min="15" max="15"/>
    <col outlineLevel="1" width="14.54296875" customWidth="1" min="16" max="27"/>
    <col width="14.54296875" customWidth="1" min="28" max="28"/>
    <col width="11.453125" customWidth="1" min="29" max="38"/>
  </cols>
  <sheetData>
    <row r="2" ht="14.25" customHeight="1">
      <c r="A2" s="1" t="n"/>
      <c r="B2" s="221" t="inlineStr">
        <is>
          <t>Tasa de impuestos sobre utilidades del país:</t>
        </is>
      </c>
      <c r="C2" s="239" t="n"/>
      <c r="D2" s="236" t="n">
        <v>0.3</v>
      </c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</row>
    <row r="3" ht="14.2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</row>
    <row r="4" ht="14.25" customHeight="1">
      <c r="A4" s="1" t="n"/>
      <c r="B4" s="107" t="inlineStr">
        <is>
          <t>Flujo de Fondos</t>
        </is>
      </c>
      <c r="C4" s="108">
        <f>+'Proyección financiera Insumos'!D2</f>
        <v/>
      </c>
      <c r="D4" s="108">
        <f>+'Proyección financiera Insumos'!E2</f>
        <v/>
      </c>
      <c r="E4" s="108">
        <f>+'Proyección financiera Insumos'!F2</f>
        <v/>
      </c>
      <c r="F4" s="108">
        <f>+'Proyección financiera Insumos'!G2</f>
        <v/>
      </c>
      <c r="G4" s="108">
        <f>+'Proyección financiera Insumos'!H2</f>
        <v/>
      </c>
      <c r="H4" s="108">
        <f>+'Proyección financiera Insumos'!I2</f>
        <v/>
      </c>
      <c r="I4" s="108">
        <f>+'Proyección financiera Insumos'!J2</f>
        <v/>
      </c>
      <c r="J4" s="108">
        <f>+'Proyección financiera Insumos'!K2</f>
        <v/>
      </c>
      <c r="K4" s="108">
        <f>+'Proyección financiera Insumos'!L2</f>
        <v/>
      </c>
      <c r="L4" s="108">
        <f>+'Proyección financiera Insumos'!M2</f>
        <v/>
      </c>
      <c r="M4" s="108">
        <f>+'Proyección financiera Insumos'!N2</f>
        <v/>
      </c>
      <c r="N4" s="108">
        <f>+'Proyección financiera Insumos'!O2</f>
        <v/>
      </c>
      <c r="O4" s="109" t="inlineStr">
        <is>
          <t>Año 1</t>
        </is>
      </c>
      <c r="P4" s="108">
        <f>+'Proyección financiera Insumos'!Q2</f>
        <v/>
      </c>
      <c r="Q4" s="108">
        <f>+'Proyección financiera Insumos'!R2</f>
        <v/>
      </c>
      <c r="R4" s="108">
        <f>+'Proyección financiera Insumos'!S2</f>
        <v/>
      </c>
      <c r="S4" s="108">
        <f>+'Proyección financiera Insumos'!T2</f>
        <v/>
      </c>
      <c r="T4" s="108">
        <f>+'Proyección financiera Insumos'!U2</f>
        <v/>
      </c>
      <c r="U4" s="108">
        <f>+'Proyección financiera Insumos'!V2</f>
        <v/>
      </c>
      <c r="V4" s="108">
        <f>+'Proyección financiera Insumos'!W2</f>
        <v/>
      </c>
      <c r="W4" s="108">
        <f>+'Proyección financiera Insumos'!X2</f>
        <v/>
      </c>
      <c r="X4" s="108">
        <f>+'Proyección financiera Insumos'!Y2</f>
        <v/>
      </c>
      <c r="Y4" s="108">
        <f>+'Proyección financiera Insumos'!Z2</f>
        <v/>
      </c>
      <c r="Z4" s="108">
        <f>+'Proyección financiera Insumos'!AA2</f>
        <v/>
      </c>
      <c r="AA4" s="108">
        <f>+'Proyección financiera Insumos'!AB2</f>
        <v/>
      </c>
      <c r="AB4" s="109" t="inlineStr">
        <is>
          <t>Año 2</t>
        </is>
      </c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</row>
    <row r="5" ht="14.25" customHeight="1">
      <c r="A5" s="110" t="n"/>
      <c r="B5" s="111" t="inlineStr">
        <is>
          <t>Ingresos por Ventas</t>
        </is>
      </c>
      <c r="C5" s="112">
        <f>+'Proyección financiera Insumos'!D26</f>
        <v/>
      </c>
      <c r="D5" s="112">
        <f>+'Proyección financiera Insumos'!E26</f>
        <v/>
      </c>
      <c r="E5" s="112">
        <f>+'Proyección financiera Insumos'!F26</f>
        <v/>
      </c>
      <c r="F5" s="112">
        <f>+'Proyección financiera Insumos'!G26</f>
        <v/>
      </c>
      <c r="G5" s="112">
        <f>+'Proyección financiera Insumos'!H26</f>
        <v/>
      </c>
      <c r="H5" s="112">
        <f>+'Proyección financiera Insumos'!I26</f>
        <v/>
      </c>
      <c r="I5" s="112">
        <f>+'Proyección financiera Insumos'!J26</f>
        <v/>
      </c>
      <c r="J5" s="112">
        <f>+'Proyección financiera Insumos'!K26</f>
        <v/>
      </c>
      <c r="K5" s="112">
        <f>+'Proyección financiera Insumos'!L26</f>
        <v/>
      </c>
      <c r="L5" s="112">
        <f>+'Proyección financiera Insumos'!M26</f>
        <v/>
      </c>
      <c r="M5" s="112">
        <f>+'Proyección financiera Insumos'!N26</f>
        <v/>
      </c>
      <c r="N5" s="112">
        <f>+'Proyección financiera Insumos'!O26</f>
        <v/>
      </c>
      <c r="O5" s="112">
        <f>SUM(C5:N5)</f>
        <v/>
      </c>
      <c r="P5" s="112">
        <f>+'Proyección financiera Insumos'!Q26</f>
        <v/>
      </c>
      <c r="Q5" s="112">
        <f>+'Proyección financiera Insumos'!R26</f>
        <v/>
      </c>
      <c r="R5" s="112">
        <f>+'Proyección financiera Insumos'!S26</f>
        <v/>
      </c>
      <c r="S5" s="112">
        <f>+'Proyección financiera Insumos'!T26</f>
        <v/>
      </c>
      <c r="T5" s="112">
        <f>+'Proyección financiera Insumos'!U26</f>
        <v/>
      </c>
      <c r="U5" s="112">
        <f>+'Proyección financiera Insumos'!V26</f>
        <v/>
      </c>
      <c r="V5" s="112">
        <f>+'Proyección financiera Insumos'!W26</f>
        <v/>
      </c>
      <c r="W5" s="112">
        <f>+'Proyección financiera Insumos'!X26</f>
        <v/>
      </c>
      <c r="X5" s="112">
        <f>+'Proyección financiera Insumos'!Y26</f>
        <v/>
      </c>
      <c r="Y5" s="112">
        <f>+'Proyección financiera Insumos'!Z26</f>
        <v/>
      </c>
      <c r="Z5" s="112">
        <f>+'Proyección financiera Insumos'!AA26</f>
        <v/>
      </c>
      <c r="AA5" s="112">
        <f>+'Proyección financiera Insumos'!AB26</f>
        <v/>
      </c>
      <c r="AB5" s="112">
        <f>SUM(P5:AA5)</f>
        <v/>
      </c>
      <c r="AC5" s="110" t="n"/>
      <c r="AD5" s="110" t="n"/>
      <c r="AE5" s="110" t="n"/>
      <c r="AF5" s="110" t="n"/>
      <c r="AG5" s="110" t="n"/>
      <c r="AH5" s="110" t="n"/>
      <c r="AI5" s="110" t="n"/>
      <c r="AJ5" s="110" t="n"/>
      <c r="AK5" s="110" t="n"/>
      <c r="AL5" s="110" t="n"/>
    </row>
    <row r="6" ht="14.25" customHeight="1">
      <c r="A6" s="1" t="n"/>
      <c r="B6" s="1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113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  <c r="AA6" s="30" t="n"/>
      <c r="AB6" s="113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</row>
    <row r="7" ht="14.25" customHeight="1">
      <c r="A7" s="1" t="n"/>
      <c r="B7" s="1" t="inlineStr">
        <is>
          <t>Costo de M.P.</t>
        </is>
      </c>
      <c r="C7" s="30">
        <f>+'Proyección financiera Insumos'!D39</f>
        <v/>
      </c>
      <c r="D7" s="30">
        <f>+'Proyección financiera Insumos'!E39</f>
        <v/>
      </c>
      <c r="E7" s="30">
        <f>+'Proyección financiera Insumos'!F39</f>
        <v/>
      </c>
      <c r="F7" s="30">
        <f>+'Proyección financiera Insumos'!G39</f>
        <v/>
      </c>
      <c r="G7" s="30">
        <f>+'Proyección financiera Insumos'!H39</f>
        <v/>
      </c>
      <c r="H7" s="30">
        <f>+'Proyección financiera Insumos'!I39</f>
        <v/>
      </c>
      <c r="I7" s="30">
        <f>+'Proyección financiera Insumos'!J39</f>
        <v/>
      </c>
      <c r="J7" s="30">
        <f>+'Proyección financiera Insumos'!K39</f>
        <v/>
      </c>
      <c r="K7" s="30">
        <f>+'Proyección financiera Insumos'!L39</f>
        <v/>
      </c>
      <c r="L7" s="30">
        <f>+'Proyección financiera Insumos'!M39</f>
        <v/>
      </c>
      <c r="M7" s="30">
        <f>+'Proyección financiera Insumos'!N39</f>
        <v/>
      </c>
      <c r="N7" s="30">
        <f>+'Proyección financiera Insumos'!O39</f>
        <v/>
      </c>
      <c r="O7" s="113">
        <f>SUM(C7:N7)</f>
        <v/>
      </c>
      <c r="P7" s="30">
        <f>+'Proyección financiera Insumos'!Q39</f>
        <v/>
      </c>
      <c r="Q7" s="30">
        <f>+'Proyección financiera Insumos'!R39</f>
        <v/>
      </c>
      <c r="R7" s="30">
        <f>+'Proyección financiera Insumos'!S39</f>
        <v/>
      </c>
      <c r="S7" s="30">
        <f>+'Proyección financiera Insumos'!T39</f>
        <v/>
      </c>
      <c r="T7" s="30">
        <f>+'Proyección financiera Insumos'!U39</f>
        <v/>
      </c>
      <c r="U7" s="30">
        <f>+'Proyección financiera Insumos'!V39</f>
        <v/>
      </c>
      <c r="V7" s="30">
        <f>+'Proyección financiera Insumos'!W39</f>
        <v/>
      </c>
      <c r="W7" s="30">
        <f>+'Proyección financiera Insumos'!X39</f>
        <v/>
      </c>
      <c r="X7" s="30">
        <f>+'Proyección financiera Insumos'!Y39</f>
        <v/>
      </c>
      <c r="Y7" s="30">
        <f>+'Proyección financiera Insumos'!Z39</f>
        <v/>
      </c>
      <c r="Z7" s="30">
        <f>+'Proyección financiera Insumos'!AA39</f>
        <v/>
      </c>
      <c r="AA7" s="30">
        <f>+'Proyección financiera Insumos'!AB39</f>
        <v/>
      </c>
      <c r="AB7" s="113">
        <f>SUM(P7:AA7)</f>
        <v/>
      </c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</row>
    <row r="8" ht="14.25" customHeight="1">
      <c r="A8" s="1" t="n"/>
      <c r="B8" s="1" t="n"/>
      <c r="C8" s="30" t="n"/>
      <c r="D8" s="30" t="n"/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113" t="n"/>
      <c r="P8" s="30" t="n"/>
      <c r="Q8" s="30" t="n"/>
      <c r="R8" s="30" t="n"/>
      <c r="S8" s="30" t="n"/>
      <c r="T8" s="30" t="n"/>
      <c r="U8" s="30" t="n"/>
      <c r="V8" s="30" t="n"/>
      <c r="W8" s="30" t="n"/>
      <c r="X8" s="30" t="n"/>
      <c r="Y8" s="30" t="n"/>
      <c r="Z8" s="30" t="n"/>
      <c r="AA8" s="30" t="n"/>
      <c r="AB8" s="113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</row>
    <row r="9" ht="14.25" customHeight="1">
      <c r="A9" s="1" t="n"/>
      <c r="B9" s="111" t="inlineStr">
        <is>
          <t>Utilidad Bruta</t>
        </is>
      </c>
      <c r="C9" s="112">
        <f>+C5-C7</f>
        <v/>
      </c>
      <c r="D9" s="112">
        <f>+D5-D7</f>
        <v/>
      </c>
      <c r="E9" s="112">
        <f>+E5-E7</f>
        <v/>
      </c>
      <c r="F9" s="112">
        <f>+F5-F7</f>
        <v/>
      </c>
      <c r="G9" s="112">
        <f>+G5-G7</f>
        <v/>
      </c>
      <c r="H9" s="112">
        <f>+H5-H7</f>
        <v/>
      </c>
      <c r="I9" s="112">
        <f>+I5-I7</f>
        <v/>
      </c>
      <c r="J9" s="112">
        <f>+J5-J7</f>
        <v/>
      </c>
      <c r="K9" s="112">
        <f>+K5-K7</f>
        <v/>
      </c>
      <c r="L9" s="112">
        <f>+L5-L7</f>
        <v/>
      </c>
      <c r="M9" s="112">
        <f>+M5-M7</f>
        <v/>
      </c>
      <c r="N9" s="112">
        <f>+N5-N7</f>
        <v/>
      </c>
      <c r="O9" s="112">
        <f>+O5-O7</f>
        <v/>
      </c>
      <c r="P9" s="112">
        <f>+P5-P7</f>
        <v/>
      </c>
      <c r="Q9" s="112">
        <f>+Q5-Q7</f>
        <v/>
      </c>
      <c r="R9" s="112">
        <f>+R5-R7</f>
        <v/>
      </c>
      <c r="S9" s="112">
        <f>+S5-S7</f>
        <v/>
      </c>
      <c r="T9" s="112">
        <f>+T5-T7</f>
        <v/>
      </c>
      <c r="U9" s="112">
        <f>+U5-U7</f>
        <v/>
      </c>
      <c r="V9" s="112">
        <f>+V5-V7</f>
        <v/>
      </c>
      <c r="W9" s="112">
        <f>+W5-W7</f>
        <v/>
      </c>
      <c r="X9" s="112">
        <f>+X5-X7</f>
        <v/>
      </c>
      <c r="Y9" s="112">
        <f>+Y5-Y7</f>
        <v/>
      </c>
      <c r="Z9" s="112">
        <f>+Z5-Z7</f>
        <v/>
      </c>
      <c r="AA9" s="112">
        <f>+AA5-AA7</f>
        <v/>
      </c>
      <c r="AB9" s="112">
        <f>+AB5-AB7</f>
        <v/>
      </c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</row>
    <row r="10" ht="14.25" customHeight="1">
      <c r="A10" s="1" t="n"/>
      <c r="B10" s="1" t="n"/>
      <c r="C10" s="30" t="n"/>
      <c r="D10" s="30" t="n"/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113" t="n"/>
      <c r="P10" s="30" t="n"/>
      <c r="Q10" s="30" t="n"/>
      <c r="R10" s="30" t="n"/>
      <c r="S10" s="30" t="n"/>
      <c r="T10" s="30" t="n"/>
      <c r="U10" s="30" t="n"/>
      <c r="V10" s="30" t="n"/>
      <c r="W10" s="30" t="n"/>
      <c r="X10" s="30" t="n"/>
      <c r="Y10" s="30" t="n"/>
      <c r="Z10" s="30" t="n"/>
      <c r="AA10" s="30" t="n"/>
      <c r="AB10" s="113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</row>
    <row r="11" ht="14.25" customHeight="1">
      <c r="A11" s="1" t="n"/>
      <c r="B11" s="114" t="inlineStr">
        <is>
          <t>Sueldos y Cargas</t>
        </is>
      </c>
      <c r="C11" s="115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113" t="n"/>
      <c r="P11" s="115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  <c r="AA11" s="30" t="n"/>
      <c r="AB11" s="113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</row>
    <row r="12" ht="14.25" customHeight="1">
      <c r="A12" s="1" t="n"/>
      <c r="B12" s="116" t="inlineStr">
        <is>
          <t xml:space="preserve">Sueldos  </t>
        </is>
      </c>
      <c r="C12" s="117">
        <f>+SUM(OPEX!$C$9:$C$22)</f>
        <v/>
      </c>
      <c r="D12" s="117">
        <f>+SUM(OPEX!$C$9:$C$22)</f>
        <v/>
      </c>
      <c r="E12" s="117">
        <f>+SUM(OPEX!$C$9:$C$22)</f>
        <v/>
      </c>
      <c r="F12" s="117">
        <f>+SUM(OPEX!$C$9:$C$22)</f>
        <v/>
      </c>
      <c r="G12" s="117">
        <f>+SUM(OPEX!$C$9:$C$22)</f>
        <v/>
      </c>
      <c r="H12" s="117">
        <f>+SUM(OPEX!$C$9:$C$22)</f>
        <v/>
      </c>
      <c r="I12" s="117">
        <f>+SUM(OPEX!$C$9:$C$22)</f>
        <v/>
      </c>
      <c r="J12" s="117">
        <f>+SUM(OPEX!$C$9:$C$22)</f>
        <v/>
      </c>
      <c r="K12" s="117">
        <f>+SUM(OPEX!$C$9:$C$22)</f>
        <v/>
      </c>
      <c r="L12" s="117">
        <f>+SUM(OPEX!$C$9:$C$22)</f>
        <v/>
      </c>
      <c r="M12" s="117">
        <f>+SUM(OPEX!$C$9:$C$22)</f>
        <v/>
      </c>
      <c r="N12" s="117">
        <f>+SUM(OPEX!$C$9:$C$22)</f>
        <v/>
      </c>
      <c r="O12" s="113">
        <f>SUM(C12:N12)</f>
        <v/>
      </c>
      <c r="P12" s="117">
        <f>+SUM(OPEX!$C$9:$C$22)</f>
        <v/>
      </c>
      <c r="Q12" s="117">
        <f>+SUM(OPEX!$C$9:$C$22)</f>
        <v/>
      </c>
      <c r="R12" s="117">
        <f>+SUM(OPEX!$C$9:$C$22)</f>
        <v/>
      </c>
      <c r="S12" s="117">
        <f>+SUM(OPEX!$C$9:$C$22)</f>
        <v/>
      </c>
      <c r="T12" s="117">
        <f>+SUM(OPEX!$C$9:$C$22)</f>
        <v/>
      </c>
      <c r="U12" s="117">
        <f>+SUM(OPEX!$C$9:$C$22)</f>
        <v/>
      </c>
      <c r="V12" s="117">
        <f>+SUM(OPEX!$C$9:$C$22)</f>
        <v/>
      </c>
      <c r="W12" s="117">
        <f>+SUM(OPEX!$C$9:$C$22)</f>
        <v/>
      </c>
      <c r="X12" s="117">
        <f>+SUM(OPEX!$C$9:$C$22)</f>
        <v/>
      </c>
      <c r="Y12" s="117">
        <f>+SUM(OPEX!$C$9:$C$22)</f>
        <v/>
      </c>
      <c r="Z12" s="117">
        <f>+SUM(OPEX!$C$9:$C$22)</f>
        <v/>
      </c>
      <c r="AA12" s="117">
        <f>+SUM(OPEX!$C$9:$C$22)</f>
        <v/>
      </c>
      <c r="AB12" s="113">
        <f>SUM(P12:AA12)</f>
        <v/>
      </c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</row>
    <row r="13" ht="14.25" customHeight="1">
      <c r="A13" s="1" t="n"/>
      <c r="B13" s="116" t="inlineStr">
        <is>
          <t>Cargas sociales</t>
        </is>
      </c>
      <c r="C13" s="118">
        <f>+OPEX!$C$8</f>
        <v/>
      </c>
      <c r="D13" s="118">
        <f>+OPEX!$C$8</f>
        <v/>
      </c>
      <c r="E13" s="118">
        <f>+OPEX!$C$8</f>
        <v/>
      </c>
      <c r="F13" s="118">
        <f>+OPEX!$C$8</f>
        <v/>
      </c>
      <c r="G13" s="118">
        <f>+OPEX!$C$8</f>
        <v/>
      </c>
      <c r="H13" s="118">
        <f>+OPEX!$C$8</f>
        <v/>
      </c>
      <c r="I13" s="118">
        <f>+OPEX!$C$8</f>
        <v/>
      </c>
      <c r="J13" s="118">
        <f>+OPEX!$C$8</f>
        <v/>
      </c>
      <c r="K13" s="118">
        <f>+OPEX!$C$8</f>
        <v/>
      </c>
      <c r="L13" s="118">
        <f>+OPEX!$C$8</f>
        <v/>
      </c>
      <c r="M13" s="118">
        <f>+OPEX!$C$8</f>
        <v/>
      </c>
      <c r="N13" s="118">
        <f>+OPEX!$C$8</f>
        <v/>
      </c>
      <c r="O13" s="119">
        <f>SUM(C13:N13)</f>
        <v/>
      </c>
      <c r="P13" s="118">
        <f>+OPEX!$C$8</f>
        <v/>
      </c>
      <c r="Q13" s="118">
        <f>+OPEX!$C$8</f>
        <v/>
      </c>
      <c r="R13" s="118">
        <f>+OPEX!$C$8</f>
        <v/>
      </c>
      <c r="S13" s="118">
        <f>+OPEX!$C$8</f>
        <v/>
      </c>
      <c r="T13" s="118">
        <f>+OPEX!$C$8</f>
        <v/>
      </c>
      <c r="U13" s="118">
        <f>+OPEX!$C$8</f>
        <v/>
      </c>
      <c r="V13" s="118">
        <f>+OPEX!$C$8</f>
        <v/>
      </c>
      <c r="W13" s="118">
        <f>+OPEX!$C$8</f>
        <v/>
      </c>
      <c r="X13" s="118">
        <f>+OPEX!$C$8</f>
        <v/>
      </c>
      <c r="Y13" s="118">
        <f>+OPEX!$C$8</f>
        <v/>
      </c>
      <c r="Z13" s="118">
        <f>+OPEX!$C$8</f>
        <v/>
      </c>
      <c r="AA13" s="118">
        <f>+OPEX!$C$8</f>
        <v/>
      </c>
      <c r="AB13" s="119">
        <f>SUM(P13:AA13)</f>
        <v/>
      </c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</row>
    <row r="14" ht="14.25" customHeight="1">
      <c r="A14" s="1" t="n"/>
      <c r="B14" s="120" t="inlineStr">
        <is>
          <t>Subtotal Sueldos y Cargas</t>
        </is>
      </c>
      <c r="C14" s="30">
        <f>+SUM(C12:C13)</f>
        <v/>
      </c>
      <c r="D14" s="30">
        <f>+SUM(D12:D13)</f>
        <v/>
      </c>
      <c r="E14" s="30">
        <f>+SUM(E12:E13)</f>
        <v/>
      </c>
      <c r="F14" s="30">
        <f>+SUM(F12:F13)</f>
        <v/>
      </c>
      <c r="G14" s="30">
        <f>+SUM(G12:G13)</f>
        <v/>
      </c>
      <c r="H14" s="30">
        <f>+SUM(H12:H13)</f>
        <v/>
      </c>
      <c r="I14" s="30">
        <f>+SUM(I12:I13)</f>
        <v/>
      </c>
      <c r="J14" s="30">
        <f>+SUM(J12:J13)</f>
        <v/>
      </c>
      <c r="K14" s="30">
        <f>+SUM(K12:K13)</f>
        <v/>
      </c>
      <c r="L14" s="30">
        <f>+SUM(L12:L13)</f>
        <v/>
      </c>
      <c r="M14" s="30">
        <f>+SUM(M12:M13)</f>
        <v/>
      </c>
      <c r="N14" s="30">
        <f>+SUM(N12:N13)</f>
        <v/>
      </c>
      <c r="O14" s="113">
        <f>SUM(C14:N14)</f>
        <v/>
      </c>
      <c r="P14" s="30">
        <f>+SUM(P12:P13)</f>
        <v/>
      </c>
      <c r="Q14" s="30">
        <f>+SUM(Q12:Q13)</f>
        <v/>
      </c>
      <c r="R14" s="30">
        <f>+SUM(R12:R13)</f>
        <v/>
      </c>
      <c r="S14" s="30">
        <f>+SUM(S12:S13)</f>
        <v/>
      </c>
      <c r="T14" s="30">
        <f>+SUM(T12:T13)</f>
        <v/>
      </c>
      <c r="U14" s="30">
        <f>+SUM(U12:U13)</f>
        <v/>
      </c>
      <c r="V14" s="30">
        <f>+SUM(V12:V13)</f>
        <v/>
      </c>
      <c r="W14" s="30">
        <f>+SUM(W12:W13)</f>
        <v/>
      </c>
      <c r="X14" s="30">
        <f>+SUM(X12:X13)</f>
        <v/>
      </c>
      <c r="Y14" s="30">
        <f>+SUM(Y12:Y13)</f>
        <v/>
      </c>
      <c r="Z14" s="30">
        <f>+SUM(Z12:Z13)</f>
        <v/>
      </c>
      <c r="AA14" s="30">
        <f>+SUM(AA12:AA13)</f>
        <v/>
      </c>
      <c r="AB14" s="113">
        <f>SUM(P14:AA14)</f>
        <v/>
      </c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</row>
    <row r="15" ht="14.25" customHeight="1">
      <c r="A15" s="1" t="n"/>
      <c r="B15" s="1" t="n"/>
      <c r="C15" s="30" t="n"/>
      <c r="D15" s="30" t="n"/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113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  <c r="AA15" s="30" t="n"/>
      <c r="AB15" s="113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</row>
    <row r="16" ht="14.25" customHeight="1">
      <c r="A16" s="1" t="n"/>
      <c r="B16" s="121" t="inlineStr">
        <is>
          <t>Costos indirectos de fábrica</t>
        </is>
      </c>
      <c r="C16" s="30">
        <f>+OPEX!$E$7-OPEX!$E$8</f>
        <v/>
      </c>
      <c r="D16" s="30">
        <f>+OPEX!$E$7-OPEX!$E$8</f>
        <v/>
      </c>
      <c r="E16" s="30">
        <f>+OPEX!$E$7-OPEX!$E$8</f>
        <v/>
      </c>
      <c r="F16" s="30">
        <f>+OPEX!$E$7-OPEX!$E$8</f>
        <v/>
      </c>
      <c r="G16" s="30">
        <f>+OPEX!$E$7-OPEX!$E$8</f>
        <v/>
      </c>
      <c r="H16" s="30">
        <f>+OPEX!$E$7-OPEX!$E$8</f>
        <v/>
      </c>
      <c r="I16" s="30">
        <f>+OPEX!$E$7-OPEX!$E$8</f>
        <v/>
      </c>
      <c r="J16" s="30">
        <f>+OPEX!$E$7-OPEX!$E$8</f>
        <v/>
      </c>
      <c r="K16" s="30">
        <f>+OPEX!$E$7-OPEX!$E$8</f>
        <v/>
      </c>
      <c r="L16" s="30">
        <f>+OPEX!$E$7-OPEX!$E$8</f>
        <v/>
      </c>
      <c r="M16" s="30">
        <f>+OPEX!$E$7-OPEX!$E$8</f>
        <v/>
      </c>
      <c r="N16" s="30">
        <f>+OPEX!$E$7-OPEX!$E$8</f>
        <v/>
      </c>
      <c r="O16" s="113">
        <f>SUM(C16:N16)</f>
        <v/>
      </c>
      <c r="P16" s="30">
        <f>+OPEX!$E$7-OPEX!$E$8</f>
        <v/>
      </c>
      <c r="Q16" s="30">
        <f>+OPEX!$E$7-OPEX!$E$8</f>
        <v/>
      </c>
      <c r="R16" s="30">
        <f>+OPEX!$E$7-OPEX!$E$8</f>
        <v/>
      </c>
      <c r="S16" s="30">
        <f>+OPEX!$E$7-OPEX!$E$8</f>
        <v/>
      </c>
      <c r="T16" s="30">
        <f>+OPEX!$E$7-OPEX!$E$8</f>
        <v/>
      </c>
      <c r="U16" s="30">
        <f>+OPEX!$E$7-OPEX!$E$8</f>
        <v/>
      </c>
      <c r="V16" s="30">
        <f>+OPEX!$E$7-OPEX!$E$8</f>
        <v/>
      </c>
      <c r="W16" s="30">
        <f>+OPEX!$E$7-OPEX!$E$8</f>
        <v/>
      </c>
      <c r="X16" s="30">
        <f>+OPEX!$E$7-OPEX!$E$8</f>
        <v/>
      </c>
      <c r="Y16" s="30">
        <f>+OPEX!$E$7-OPEX!$E$8</f>
        <v/>
      </c>
      <c r="Z16" s="30">
        <f>+OPEX!$E$7-OPEX!$E$8</f>
        <v/>
      </c>
      <c r="AA16" s="30">
        <f>+OPEX!$E$7-OPEX!$E$8</f>
        <v/>
      </c>
      <c r="AB16" s="113">
        <f>SUM(P16:AA16)</f>
        <v/>
      </c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</row>
    <row r="17" ht="14.25" customHeight="1">
      <c r="A17" s="1" t="n"/>
      <c r="B17" s="1" t="inlineStr">
        <is>
          <t>Esfuerzo de venta</t>
        </is>
      </c>
      <c r="C17" s="30">
        <f>+'Proyección financiera Insumos'!D67</f>
        <v/>
      </c>
      <c r="D17" s="30">
        <f>+'Proyección financiera Insumos'!E67</f>
        <v/>
      </c>
      <c r="E17" s="30">
        <f>+'Proyección financiera Insumos'!F67</f>
        <v/>
      </c>
      <c r="F17" s="30">
        <f>+'Proyección financiera Insumos'!G67</f>
        <v/>
      </c>
      <c r="G17" s="30">
        <f>+'Proyección financiera Insumos'!H67</f>
        <v/>
      </c>
      <c r="H17" s="30">
        <f>+'Proyección financiera Insumos'!I67</f>
        <v/>
      </c>
      <c r="I17" s="30">
        <f>+'Proyección financiera Insumos'!J67</f>
        <v/>
      </c>
      <c r="J17" s="30">
        <f>+'Proyección financiera Insumos'!K67</f>
        <v/>
      </c>
      <c r="K17" s="30">
        <f>+'Proyección financiera Insumos'!L67</f>
        <v/>
      </c>
      <c r="L17" s="30">
        <f>+'Proyección financiera Insumos'!M67</f>
        <v/>
      </c>
      <c r="M17" s="30">
        <f>+'Proyección financiera Insumos'!N67</f>
        <v/>
      </c>
      <c r="N17" s="30">
        <f>+'Proyección financiera Insumos'!O67</f>
        <v/>
      </c>
      <c r="O17" s="113">
        <f>+'Proyección financiera Insumos'!P67</f>
        <v/>
      </c>
      <c r="P17" s="30">
        <f>+'Proyección financiera Insumos'!Q67</f>
        <v/>
      </c>
      <c r="Q17" s="30">
        <f>+'Proyección financiera Insumos'!R67</f>
        <v/>
      </c>
      <c r="R17" s="30">
        <f>+'Proyección financiera Insumos'!S67</f>
        <v/>
      </c>
      <c r="S17" s="30">
        <f>+'Proyección financiera Insumos'!T67</f>
        <v/>
      </c>
      <c r="T17" s="30">
        <f>+'Proyección financiera Insumos'!U67</f>
        <v/>
      </c>
      <c r="U17" s="30">
        <f>+'Proyección financiera Insumos'!V67</f>
        <v/>
      </c>
      <c r="V17" s="30">
        <f>+'Proyección financiera Insumos'!W67</f>
        <v/>
      </c>
      <c r="W17" s="30">
        <f>+'Proyección financiera Insumos'!X67</f>
        <v/>
      </c>
      <c r="X17" s="30">
        <f>+'Proyección financiera Insumos'!Y67</f>
        <v/>
      </c>
      <c r="Y17" s="30">
        <f>+'Proyección financiera Insumos'!Z67</f>
        <v/>
      </c>
      <c r="Z17" s="30">
        <f>+'Proyección financiera Insumos'!AA67</f>
        <v/>
      </c>
      <c r="AA17" s="30">
        <f>+'Proyección financiera Insumos'!AB67</f>
        <v/>
      </c>
      <c r="AB17" s="113">
        <f>+'Proyección financiera Insumos'!AC67</f>
        <v/>
      </c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</row>
    <row r="18" ht="14.25" customHeight="1">
      <c r="A18" s="1" t="n"/>
      <c r="B18" s="1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113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113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</row>
    <row r="19" ht="14.25" customHeight="1">
      <c r="A19" s="110" t="n"/>
      <c r="B19" s="122" t="inlineStr">
        <is>
          <t>Total Egresos Operativos</t>
        </is>
      </c>
      <c r="C19" s="123">
        <f>+C17+C16+C14+C7</f>
        <v/>
      </c>
      <c r="D19" s="123">
        <f>+D17+D16+D14+D7</f>
        <v/>
      </c>
      <c r="E19" s="123">
        <f>+E17+E16+E14+E7</f>
        <v/>
      </c>
      <c r="F19" s="123">
        <f>+F17+F16+F14+F7</f>
        <v/>
      </c>
      <c r="G19" s="123">
        <f>+G17+G16+G14+G7</f>
        <v/>
      </c>
      <c r="H19" s="123">
        <f>+H17+H16+H14+H7</f>
        <v/>
      </c>
      <c r="I19" s="123">
        <f>+I17+I16+I14+I7</f>
        <v/>
      </c>
      <c r="J19" s="123">
        <f>+J17+J16+J14+J7</f>
        <v/>
      </c>
      <c r="K19" s="123">
        <f>+K17+K16+K14+K7</f>
        <v/>
      </c>
      <c r="L19" s="123">
        <f>+L17+L16+L14+L7</f>
        <v/>
      </c>
      <c r="M19" s="123">
        <f>+M17+M16+M14+M7</f>
        <v/>
      </c>
      <c r="N19" s="123">
        <f>+N17+N16+N14+N7</f>
        <v/>
      </c>
      <c r="O19" s="123">
        <f>SUM(C19:N19)</f>
        <v/>
      </c>
      <c r="P19" s="123">
        <f>+P17+P16+P14+P7</f>
        <v/>
      </c>
      <c r="Q19" s="123">
        <f>+Q17+Q16+Q14+Q7</f>
        <v/>
      </c>
      <c r="R19" s="123">
        <f>+R17+R16+R14+R7</f>
        <v/>
      </c>
      <c r="S19" s="123">
        <f>+S17+S16+S14+S7</f>
        <v/>
      </c>
      <c r="T19" s="123">
        <f>+T17+T16+T14+T7</f>
        <v/>
      </c>
      <c r="U19" s="123">
        <f>+U17+U16+U14+U7</f>
        <v/>
      </c>
      <c r="V19" s="123">
        <f>+V17+V16+V14+V7</f>
        <v/>
      </c>
      <c r="W19" s="123">
        <f>+W17+W16+W14+W7</f>
        <v/>
      </c>
      <c r="X19" s="123">
        <f>+X17+X16+X14+X7</f>
        <v/>
      </c>
      <c r="Y19" s="123">
        <f>+Y17+Y16+Y14+Y7</f>
        <v/>
      </c>
      <c r="Z19" s="123">
        <f>+Z17+Z16+Z14+Z7</f>
        <v/>
      </c>
      <c r="AA19" s="123">
        <f>+AA17+AA16+AA14+AA7</f>
        <v/>
      </c>
      <c r="AB19" s="123">
        <f>SUM(P19:AA19)</f>
        <v/>
      </c>
      <c r="AC19" s="110" t="n"/>
      <c r="AD19" s="110" t="n"/>
      <c r="AE19" s="110" t="n"/>
      <c r="AF19" s="110" t="n"/>
      <c r="AG19" s="110" t="n"/>
      <c r="AH19" s="110" t="n"/>
      <c r="AI19" s="110" t="n"/>
      <c r="AJ19" s="110" t="n"/>
      <c r="AK19" s="110" t="n"/>
      <c r="AL19" s="110" t="n"/>
    </row>
    <row r="20" ht="14.25" customHeight="1">
      <c r="A20" s="1" t="n"/>
      <c r="B20" s="1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113" t="n"/>
      <c r="P20" s="30" t="n"/>
      <c r="Q20" s="30" t="n"/>
      <c r="R20" s="30" t="n"/>
      <c r="S20" s="30" t="n"/>
      <c r="T20" s="30" t="n"/>
      <c r="U20" s="30" t="n"/>
      <c r="V20" s="30" t="n"/>
      <c r="W20" s="30" t="n"/>
      <c r="X20" s="30" t="n"/>
      <c r="Y20" s="30" t="n"/>
      <c r="Z20" s="30" t="n"/>
      <c r="AA20" s="30" t="n"/>
      <c r="AB20" s="113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</row>
    <row r="21" ht="14.25" customHeight="1">
      <c r="A21" s="1" t="n"/>
      <c r="B21" s="124" t="inlineStr">
        <is>
          <t>EBITDA</t>
        </is>
      </c>
      <c r="C21" s="125">
        <f>+C5-C19</f>
        <v/>
      </c>
      <c r="D21" s="125">
        <f>+D5-D19</f>
        <v/>
      </c>
      <c r="E21" s="125">
        <f>+E5-E19</f>
        <v/>
      </c>
      <c r="F21" s="125">
        <f>+F5-F19</f>
        <v/>
      </c>
      <c r="G21" s="125">
        <f>+G5-G19</f>
        <v/>
      </c>
      <c r="H21" s="125">
        <f>+H5-H19</f>
        <v/>
      </c>
      <c r="I21" s="125">
        <f>+I5-I19</f>
        <v/>
      </c>
      <c r="J21" s="125">
        <f>+J5-J19</f>
        <v/>
      </c>
      <c r="K21" s="125">
        <f>+K5-K19</f>
        <v/>
      </c>
      <c r="L21" s="125">
        <f>+L5-L19</f>
        <v/>
      </c>
      <c r="M21" s="125">
        <f>+M5-M19</f>
        <v/>
      </c>
      <c r="N21" s="125">
        <f>+N5-N19</f>
        <v/>
      </c>
      <c r="O21" s="126">
        <f>SUM(C21:N21)</f>
        <v/>
      </c>
      <c r="P21" s="125">
        <f>+P5-P19</f>
        <v/>
      </c>
      <c r="Q21" s="125">
        <f>+Q5-Q19</f>
        <v/>
      </c>
      <c r="R21" s="125">
        <f>+R5-R19</f>
        <v/>
      </c>
      <c r="S21" s="125">
        <f>+S5-S19</f>
        <v/>
      </c>
      <c r="T21" s="125">
        <f>+T5-T19</f>
        <v/>
      </c>
      <c r="U21" s="125">
        <f>+U5-U19</f>
        <v/>
      </c>
      <c r="V21" s="125">
        <f>+V5-V19</f>
        <v/>
      </c>
      <c r="W21" s="125">
        <f>+W5-W19</f>
        <v/>
      </c>
      <c r="X21" s="125">
        <f>+X5-X19</f>
        <v/>
      </c>
      <c r="Y21" s="125">
        <f>+Y5-Y19</f>
        <v/>
      </c>
      <c r="Z21" s="125">
        <f>+Z5-Z19</f>
        <v/>
      </c>
      <c r="AA21" s="125">
        <f>+AA5-AA19</f>
        <v/>
      </c>
      <c r="AB21" s="126">
        <f>SUM(P21:AA21)</f>
        <v/>
      </c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</row>
    <row r="22" ht="14.25" customHeight="1">
      <c r="A22" s="1" t="n"/>
      <c r="B22" s="127" t="n"/>
      <c r="C22" s="128" t="n"/>
      <c r="D22" s="128" t="n"/>
      <c r="E22" s="128" t="n"/>
      <c r="F22" s="128" t="n"/>
      <c r="G22" s="128" t="n"/>
      <c r="H22" s="128" t="n"/>
      <c r="I22" s="128" t="n"/>
      <c r="J22" s="128" t="n"/>
      <c r="K22" s="128" t="n"/>
      <c r="L22" s="128" t="n"/>
      <c r="M22" s="128" t="n"/>
      <c r="N22" s="128" t="n"/>
      <c r="O22" s="129" t="n"/>
      <c r="P22" s="128" t="n"/>
      <c r="Q22" s="128" t="n"/>
      <c r="R22" s="128" t="n"/>
      <c r="S22" s="128" t="n"/>
      <c r="T22" s="128" t="n"/>
      <c r="U22" s="128" t="n"/>
      <c r="V22" s="128" t="n"/>
      <c r="W22" s="128" t="n"/>
      <c r="X22" s="128" t="n"/>
      <c r="Y22" s="128" t="n"/>
      <c r="Z22" s="128" t="n"/>
      <c r="AA22" s="128" t="n"/>
      <c r="AB22" s="129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</row>
    <row r="23" ht="14.25" customHeight="1">
      <c r="A23" s="1" t="n"/>
      <c r="B23" s="130" t="inlineStr">
        <is>
          <t>Depreciación y amortización</t>
        </is>
      </c>
      <c r="C23" s="131">
        <f>+OPEX!$E$8</f>
        <v/>
      </c>
      <c r="D23" s="131">
        <f>+OPEX!$E$8</f>
        <v/>
      </c>
      <c r="E23" s="131">
        <f>+OPEX!$E$8</f>
        <v/>
      </c>
      <c r="F23" s="131">
        <f>+OPEX!$E$8</f>
        <v/>
      </c>
      <c r="G23" s="131">
        <f>+OPEX!$E$8</f>
        <v/>
      </c>
      <c r="H23" s="131">
        <f>+OPEX!$E$8</f>
        <v/>
      </c>
      <c r="I23" s="131">
        <f>+OPEX!$E$8</f>
        <v/>
      </c>
      <c r="J23" s="131">
        <f>+OPEX!$E$8</f>
        <v/>
      </c>
      <c r="K23" s="131">
        <f>+OPEX!$E$8</f>
        <v/>
      </c>
      <c r="L23" s="131">
        <f>+OPEX!$E$8</f>
        <v/>
      </c>
      <c r="M23" s="131">
        <f>+OPEX!$E$8</f>
        <v/>
      </c>
      <c r="N23" s="131">
        <f>+OPEX!$E$8</f>
        <v/>
      </c>
      <c r="O23" s="131">
        <f>+SUM(C23:N23)</f>
        <v/>
      </c>
      <c r="P23" s="131">
        <f>+OPEX!$E$8</f>
        <v/>
      </c>
      <c r="Q23" s="131">
        <f>+OPEX!$E$8</f>
        <v/>
      </c>
      <c r="R23" s="131">
        <f>+OPEX!$E$8</f>
        <v/>
      </c>
      <c r="S23" s="131">
        <f>+OPEX!$E$8</f>
        <v/>
      </c>
      <c r="T23" s="131">
        <f>+OPEX!$E$8</f>
        <v/>
      </c>
      <c r="U23" s="131">
        <f>+OPEX!$E$8</f>
        <v/>
      </c>
      <c r="V23" s="131">
        <f>+OPEX!$E$8</f>
        <v/>
      </c>
      <c r="W23" s="131">
        <f>+OPEX!$E$8</f>
        <v/>
      </c>
      <c r="X23" s="131">
        <f>+OPEX!$E$8</f>
        <v/>
      </c>
      <c r="Y23" s="131">
        <f>+OPEX!$E$8</f>
        <v/>
      </c>
      <c r="Z23" s="131">
        <f>+OPEX!$E$8</f>
        <v/>
      </c>
      <c r="AA23" s="131">
        <f>+OPEX!$E$8</f>
        <v/>
      </c>
      <c r="AB23" s="131">
        <f>+SUM(P23:AA23)</f>
        <v/>
      </c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</row>
    <row r="24" ht="14.25" customHeight="1">
      <c r="A24" s="1" t="n"/>
      <c r="B24" s="130" t="inlineStr">
        <is>
          <t>Base gravable</t>
        </is>
      </c>
      <c r="C24" s="131">
        <f>+C21-C23</f>
        <v/>
      </c>
      <c r="D24" s="131">
        <f>+D21-D23</f>
        <v/>
      </c>
      <c r="E24" s="131">
        <f>+E21-E23</f>
        <v/>
      </c>
      <c r="F24" s="131">
        <f>+F21-F23</f>
        <v/>
      </c>
      <c r="G24" s="131">
        <f>+G21-G23</f>
        <v/>
      </c>
      <c r="H24" s="131">
        <f>+H21-H23</f>
        <v/>
      </c>
      <c r="I24" s="131">
        <f>+I21-I23</f>
        <v/>
      </c>
      <c r="J24" s="131">
        <f>+J21-J23</f>
        <v/>
      </c>
      <c r="K24" s="131">
        <f>+K21-K23</f>
        <v/>
      </c>
      <c r="L24" s="131">
        <f>+L21-L23</f>
        <v/>
      </c>
      <c r="M24" s="131">
        <f>+M21-M23</f>
        <v/>
      </c>
      <c r="N24" s="131">
        <f>+N21-N23</f>
        <v/>
      </c>
      <c r="O24" s="131">
        <f>+O21-O23</f>
        <v/>
      </c>
      <c r="P24" s="131">
        <f>+P21-P23</f>
        <v/>
      </c>
      <c r="Q24" s="131">
        <f>+Q21-Q23</f>
        <v/>
      </c>
      <c r="R24" s="131">
        <f>+R21-R23</f>
        <v/>
      </c>
      <c r="S24" s="131">
        <f>+S21-S23</f>
        <v/>
      </c>
      <c r="T24" s="131">
        <f>+T21-T23</f>
        <v/>
      </c>
      <c r="U24" s="131">
        <f>+U21-U23</f>
        <v/>
      </c>
      <c r="V24" s="131">
        <f>+V21-V23</f>
        <v/>
      </c>
      <c r="W24" s="131">
        <f>+W21-W23</f>
        <v/>
      </c>
      <c r="X24" s="131">
        <f>+X21-X23</f>
        <v/>
      </c>
      <c r="Y24" s="131">
        <f>+Y21-Y23</f>
        <v/>
      </c>
      <c r="Z24" s="131">
        <f>+Z21-Z23</f>
        <v/>
      </c>
      <c r="AA24" s="131">
        <f>+AA21-AA23</f>
        <v/>
      </c>
      <c r="AB24" s="131">
        <f>+AB21-AB23</f>
        <v/>
      </c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</row>
    <row r="25" ht="14.25" customHeight="1">
      <c r="A25" s="1" t="n"/>
      <c r="B25" s="130" t="inlineStr">
        <is>
          <t>Impuestos</t>
        </is>
      </c>
      <c r="C25" s="131">
        <f>+IF(C24&gt;0,C24*$D$2,0)</f>
        <v/>
      </c>
      <c r="D25" s="131">
        <f>+IF(D24&gt;0,D24*$D$2,0)</f>
        <v/>
      </c>
      <c r="E25" s="131">
        <f>+IF(E24&gt;0,E24*$D$2,0)</f>
        <v/>
      </c>
      <c r="F25" s="131">
        <f>+IF(F24&gt;0,F24*$D$2,0)</f>
        <v/>
      </c>
      <c r="G25" s="131">
        <f>+IF(G24&gt;0,G24*$D$2,0)</f>
        <v/>
      </c>
      <c r="H25" s="131">
        <f>+IF(H24&gt;0,H24*$D$2,0)</f>
        <v/>
      </c>
      <c r="I25" s="131">
        <f>+IF(I24&gt;0,I24*$D$2,0)</f>
        <v/>
      </c>
      <c r="J25" s="131">
        <f>+IF(J24&gt;0,J24*$D$2,0)</f>
        <v/>
      </c>
      <c r="K25" s="131">
        <f>+IF(K24&gt;0,K24*$D$2,0)</f>
        <v/>
      </c>
      <c r="L25" s="131">
        <f>+IF(L24&gt;0,L24*$D$2,0)</f>
        <v/>
      </c>
      <c r="M25" s="131">
        <f>+IF(M24&gt;0,M24*$D$2,0)</f>
        <v/>
      </c>
      <c r="N25" s="131">
        <f>+IF(N24&gt;0,N24*$D$2,0)</f>
        <v/>
      </c>
      <c r="O25" s="131">
        <f>+SUM(C25:N25)</f>
        <v/>
      </c>
      <c r="P25" s="131">
        <f>+IF(P24&gt;0,P24*$D$2,0)</f>
        <v/>
      </c>
      <c r="Q25" s="131">
        <f>+IF(Q24&gt;0,Q24*$D$2,0)</f>
        <v/>
      </c>
      <c r="R25" s="131">
        <f>+IF(R24&gt;0,R24*$D$2,0)</f>
        <v/>
      </c>
      <c r="S25" s="131">
        <f>+IF(S24&gt;0,S24*$D$2,0)</f>
        <v/>
      </c>
      <c r="T25" s="131">
        <f>+IF(T24&gt;0,T24*$D$2,0)</f>
        <v/>
      </c>
      <c r="U25" s="131">
        <f>+IF(U24&gt;0,U24*$D$2,0)</f>
        <v/>
      </c>
      <c r="V25" s="131">
        <f>+IF(V24&gt;0,V24*$D$2,0)</f>
        <v/>
      </c>
      <c r="W25" s="131">
        <f>+IF(W24&gt;0,W24*$D$2,0)</f>
        <v/>
      </c>
      <c r="X25" s="131">
        <f>+IF(X24&gt;0,X24*$D$2,0)</f>
        <v/>
      </c>
      <c r="Y25" s="131">
        <f>+IF(Y24&gt;0,Y24*$D$2,0)</f>
        <v/>
      </c>
      <c r="Z25" s="131">
        <f>+IF(Z24&gt;0,Z24*$D$2,0)</f>
        <v/>
      </c>
      <c r="AA25" s="131">
        <f>+IF(AA24&gt;0,AA24*$D$2,0)</f>
        <v/>
      </c>
      <c r="AB25" s="131">
        <f>+SUM(P25:AA25)</f>
        <v/>
      </c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</row>
    <row r="26" ht="14.25" customHeight="1">
      <c r="A26" s="1" t="n"/>
      <c r="B26" s="110" t="inlineStr">
        <is>
          <t>Resultado neto</t>
        </is>
      </c>
      <c r="C26" s="132">
        <f>+C21-C25</f>
        <v/>
      </c>
      <c r="D26" s="132">
        <f>+D21-D25</f>
        <v/>
      </c>
      <c r="E26" s="132">
        <f>+E21-E25</f>
        <v/>
      </c>
      <c r="F26" s="132">
        <f>+F21-F25</f>
        <v/>
      </c>
      <c r="G26" s="132">
        <f>+G21-G25</f>
        <v/>
      </c>
      <c r="H26" s="132">
        <f>+H21-H25</f>
        <v/>
      </c>
      <c r="I26" s="132">
        <f>+I21-I25</f>
        <v/>
      </c>
      <c r="J26" s="132">
        <f>+J21-J25</f>
        <v/>
      </c>
      <c r="K26" s="132">
        <f>+K21-K25</f>
        <v/>
      </c>
      <c r="L26" s="132">
        <f>+L21-L25</f>
        <v/>
      </c>
      <c r="M26" s="132">
        <f>+M21-M25</f>
        <v/>
      </c>
      <c r="N26" s="132">
        <f>+N21-N25</f>
        <v/>
      </c>
      <c r="O26" s="133">
        <f>+O21-O25</f>
        <v/>
      </c>
      <c r="P26" s="132">
        <f>+P21-P25</f>
        <v/>
      </c>
      <c r="Q26" s="132">
        <f>+Q21-Q25</f>
        <v/>
      </c>
      <c r="R26" s="132">
        <f>+R21-R25</f>
        <v/>
      </c>
      <c r="S26" s="132">
        <f>+S21-S25</f>
        <v/>
      </c>
      <c r="T26" s="132">
        <f>+T21-T25</f>
        <v/>
      </c>
      <c r="U26" s="132">
        <f>+U21-U25</f>
        <v/>
      </c>
      <c r="V26" s="132">
        <f>+V21-V25</f>
        <v/>
      </c>
      <c r="W26" s="132">
        <f>+W21-W25</f>
        <v/>
      </c>
      <c r="X26" s="132">
        <f>+X21-X25</f>
        <v/>
      </c>
      <c r="Y26" s="132">
        <f>+Y21-Y25</f>
        <v/>
      </c>
      <c r="Z26" s="132">
        <f>+Z21-Z25</f>
        <v/>
      </c>
      <c r="AA26" s="132">
        <f>+AA21-AA25</f>
        <v/>
      </c>
      <c r="AB26" s="133">
        <f>+AB21-AB25</f>
        <v/>
      </c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</row>
    <row r="27" ht="14.2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34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34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</row>
    <row r="28" ht="14.2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34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34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</row>
    <row r="29" ht="14.25" customHeight="1">
      <c r="A29" s="1" t="n"/>
      <c r="B29" s="135" t="inlineStr">
        <is>
          <t>Flujo De caja</t>
        </is>
      </c>
      <c r="C29" s="136" t="n"/>
      <c r="D29" s="137" t="n"/>
      <c r="E29" s="137" t="n"/>
      <c r="F29" s="137" t="n"/>
      <c r="G29" s="137" t="n"/>
      <c r="H29" s="137" t="n"/>
      <c r="I29" s="137" t="n"/>
      <c r="J29" s="137" t="n"/>
      <c r="K29" s="137" t="n"/>
      <c r="L29" s="137" t="n"/>
      <c r="M29" s="137" t="n"/>
      <c r="N29" s="137" t="n"/>
      <c r="O29" s="138" t="n"/>
      <c r="P29" s="139" t="n"/>
      <c r="Q29" s="139" t="n"/>
      <c r="R29" s="139" t="n"/>
      <c r="S29" s="139" t="n"/>
      <c r="T29" s="139" t="n"/>
      <c r="U29" s="139" t="n"/>
      <c r="V29" s="139" t="n"/>
      <c r="W29" s="139" t="n"/>
      <c r="X29" s="139" t="n"/>
      <c r="Y29" s="139" t="n"/>
      <c r="Z29" s="139" t="n"/>
      <c r="AA29" s="139" t="n"/>
      <c r="AB29" s="138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</row>
    <row r="30" ht="14.25" customHeight="1">
      <c r="A30" s="1" t="n"/>
      <c r="B30" s="1" t="inlineStr">
        <is>
          <t>Necesidad de capital de trabajo</t>
        </is>
      </c>
      <c r="C30" s="267" t="n">
        <v>-1400000</v>
      </c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134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34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</row>
    <row r="31" ht="14.25" customHeight="1">
      <c r="A31" s="1" t="n"/>
      <c r="B31" s="1" t="inlineStr">
        <is>
          <t>Resultado de flujo</t>
        </is>
      </c>
      <c r="C31" s="30">
        <f>+C26+C23</f>
        <v/>
      </c>
      <c r="D31" s="30">
        <f>+D26+D23</f>
        <v/>
      </c>
      <c r="E31" s="30">
        <f>+E26+E23</f>
        <v/>
      </c>
      <c r="F31" s="30">
        <f>+F26+F23</f>
        <v/>
      </c>
      <c r="G31" s="30">
        <f>+G26+G23</f>
        <v/>
      </c>
      <c r="H31" s="30">
        <f>+H26+H23</f>
        <v/>
      </c>
      <c r="I31" s="30">
        <f>+I26+I23</f>
        <v/>
      </c>
      <c r="J31" s="30">
        <f>+J26+J23</f>
        <v/>
      </c>
      <c r="K31" s="30">
        <f>+K26+K23</f>
        <v/>
      </c>
      <c r="L31" s="30">
        <f>+L26+L23</f>
        <v/>
      </c>
      <c r="M31" s="30">
        <f>+M26+M23</f>
        <v/>
      </c>
      <c r="N31" s="30">
        <f>+N26+N23</f>
        <v/>
      </c>
      <c r="O31" s="113">
        <f>+N31</f>
        <v/>
      </c>
      <c r="P31" s="30">
        <f>+P26+P23</f>
        <v/>
      </c>
      <c r="Q31" s="30">
        <f>+Q26+Q23</f>
        <v/>
      </c>
      <c r="R31" s="30">
        <f>+R26+R23</f>
        <v/>
      </c>
      <c r="S31" s="30">
        <f>+S26+S23</f>
        <v/>
      </c>
      <c r="T31" s="30">
        <f>+T26+T23</f>
        <v/>
      </c>
      <c r="U31" s="30">
        <f>+U26+U23</f>
        <v/>
      </c>
      <c r="V31" s="30">
        <f>+V26+V23</f>
        <v/>
      </c>
      <c r="W31" s="30">
        <f>+W26+W23</f>
        <v/>
      </c>
      <c r="X31" s="30">
        <f>+X26+X23</f>
        <v/>
      </c>
      <c r="Y31" s="30">
        <f>+Y26+Y23</f>
        <v/>
      </c>
      <c r="Z31" s="30">
        <f>+Z26+Z23</f>
        <v/>
      </c>
      <c r="AA31" s="30">
        <f>+AA26+AA23</f>
        <v/>
      </c>
      <c r="AB31" s="113">
        <f>+AA31</f>
        <v/>
      </c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</row>
    <row r="32" ht="14.25" customHeight="1">
      <c r="A32" s="1" t="n"/>
      <c r="B32" s="110" t="inlineStr">
        <is>
          <t>Balance</t>
        </is>
      </c>
      <c r="C32" s="132">
        <f>+C31+C30</f>
        <v/>
      </c>
      <c r="D32" s="132">
        <f>+C32+D31</f>
        <v/>
      </c>
      <c r="E32" s="132">
        <f>+D32+E31</f>
        <v/>
      </c>
      <c r="F32" s="132">
        <f>+E32+F31</f>
        <v/>
      </c>
      <c r="G32" s="132">
        <f>+F32+G31</f>
        <v/>
      </c>
      <c r="H32" s="132">
        <f>+G32+H31</f>
        <v/>
      </c>
      <c r="I32" s="132">
        <f>+H32+I31</f>
        <v/>
      </c>
      <c r="J32" s="132">
        <f>+I32+J31</f>
        <v/>
      </c>
      <c r="K32" s="132">
        <f>+J32+K31</f>
        <v/>
      </c>
      <c r="L32" s="132">
        <f>+K32+L31</f>
        <v/>
      </c>
      <c r="M32" s="132">
        <f>+L32+M31</f>
        <v/>
      </c>
      <c r="N32" s="132">
        <f>+M32+N31</f>
        <v/>
      </c>
      <c r="O32" s="113">
        <f>+N32</f>
        <v/>
      </c>
      <c r="P32" s="132">
        <f>+N32+P31</f>
        <v/>
      </c>
      <c r="Q32" s="132">
        <f>+P32+Q31</f>
        <v/>
      </c>
      <c r="R32" s="132">
        <f>+Q32+R31</f>
        <v/>
      </c>
      <c r="S32" s="132">
        <f>+R32+S31</f>
        <v/>
      </c>
      <c r="T32" s="132">
        <f>+S32+T31</f>
        <v/>
      </c>
      <c r="U32" s="132">
        <f>+T32+U31</f>
        <v/>
      </c>
      <c r="V32" s="132">
        <f>+U32+V31</f>
        <v/>
      </c>
      <c r="W32" s="132">
        <f>+V32+W31</f>
        <v/>
      </c>
      <c r="X32" s="132">
        <f>+W32+X31</f>
        <v/>
      </c>
      <c r="Y32" s="132">
        <f>+X32+Y31</f>
        <v/>
      </c>
      <c r="Z32" s="132">
        <f>+Y32+Z31</f>
        <v/>
      </c>
      <c r="AA32" s="132">
        <f>+Z32+AA31</f>
        <v/>
      </c>
      <c r="AB32" s="113">
        <f>+AA32</f>
        <v/>
      </c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</row>
    <row r="33" ht="14.2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</row>
    <row r="34" ht="14.2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</row>
    <row r="35" ht="14.2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  <c r="AA35" s="30" t="n"/>
      <c r="AB35" s="30" t="n"/>
      <c r="AC35" s="1" t="n"/>
      <c r="AD35" s="30" t="n"/>
      <c r="AE35" s="1" t="n"/>
      <c r="AF35" s="30" t="n"/>
      <c r="AG35" s="1" t="n"/>
      <c r="AH35" s="30" t="n"/>
      <c r="AI35" s="1" t="n"/>
      <c r="AJ35" s="30" t="n"/>
      <c r="AK35" s="1" t="n"/>
      <c r="AL35" s="30" t="n"/>
    </row>
    <row r="36" ht="14.2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</row>
    <row r="37" ht="14.2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</row>
    <row r="38" ht="14.2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</row>
    <row r="39" ht="14.2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</row>
    <row r="40" ht="14.2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</row>
    <row r="41" ht="14.25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</row>
    <row r="42" ht="14.25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</row>
    <row r="43" ht="14.25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</row>
    <row r="44" ht="14.25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</row>
    <row r="45" ht="14.2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</row>
    <row r="46" ht="14.2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</row>
    <row r="47" ht="14.2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</row>
    <row r="48" ht="14.2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</row>
    <row r="49" ht="14.25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</row>
    <row r="50" ht="14.2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</row>
    <row r="51" ht="14.2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</row>
    <row r="52" ht="14.2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</row>
    <row r="53" ht="14.2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</row>
    <row r="54" ht="14.2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</row>
    <row r="55" ht="14.2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</row>
    <row r="56" ht="14.2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</row>
    <row r="57" ht="14.2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</row>
    <row r="58" ht="14.2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</row>
    <row r="59" ht="14.2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</row>
    <row r="60" ht="14.2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</row>
    <row r="61" ht="14.2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</row>
    <row r="62" ht="14.2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</row>
    <row r="63" ht="14.2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</row>
    <row r="64" ht="14.2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</row>
    <row r="65" ht="14.2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</row>
    <row r="66" ht="14.2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</row>
    <row r="67" ht="14.2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</row>
    <row r="68" ht="14.2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</row>
    <row r="69" ht="14.2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</row>
    <row r="70" ht="14.2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</row>
    <row r="71" ht="14.2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</row>
    <row r="72" ht="14.2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</row>
    <row r="73" ht="14.2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</row>
    <row r="74" ht="14.2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</row>
    <row r="75" ht="14.2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</row>
    <row r="76" ht="14.2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</row>
    <row r="77" ht="14.2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</row>
    <row r="78" ht="14.2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</row>
    <row r="79" ht="14.2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</row>
    <row r="80" ht="14.2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</row>
    <row r="81" ht="14.2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</row>
    <row r="82" ht="14.2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</row>
    <row r="83" ht="14.2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</row>
    <row r="84" ht="14.2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</row>
    <row r="85" ht="14.2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</row>
    <row r="86" ht="14.2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</row>
    <row r="87" ht="14.2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</row>
    <row r="88" ht="14.2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</row>
    <row r="89" ht="14.2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</row>
    <row r="90" ht="14.2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</row>
    <row r="91" ht="14.2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</row>
    <row r="92" ht="14.2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</row>
    <row r="93" ht="14.2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</row>
    <row r="94" ht="14.2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</row>
    <row r="95" ht="14.2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</row>
    <row r="96" ht="14.2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</row>
    <row r="97" ht="14.2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</row>
    <row r="98" ht="14.2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</row>
    <row r="99" ht="14.2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</row>
    <row r="100" ht="14.2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</row>
    <row r="101" ht="14.2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</row>
    <row r="102" ht="14.2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</row>
    <row r="103" ht="14.2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</row>
    <row r="104" ht="14.2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</row>
    <row r="105" ht="14.2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</row>
    <row r="106" ht="14.2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</row>
    <row r="107" ht="14.2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</row>
    <row r="108" ht="14.2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</row>
    <row r="109" ht="14.2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</row>
    <row r="110" ht="14.2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</row>
    <row r="111" ht="14.2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</row>
    <row r="112" ht="14.2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</row>
    <row r="113" ht="14.2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</row>
    <row r="114" ht="14.2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</row>
    <row r="115" ht="14.2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</row>
    <row r="116" ht="14.2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</row>
    <row r="117" ht="14.2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</row>
    <row r="118" ht="14.2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</row>
    <row r="119" ht="14.2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</row>
    <row r="120" ht="14.2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</row>
    <row r="121" ht="14.2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</row>
    <row r="122" ht="14.2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</row>
    <row r="123" ht="14.2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</row>
    <row r="124" ht="14.2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</row>
    <row r="125" ht="14.2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</row>
    <row r="126" ht="14.2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</row>
    <row r="127" ht="14.2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</row>
    <row r="128" ht="14.2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</row>
    <row r="129" ht="14.2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</row>
    <row r="130" ht="14.2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</row>
    <row r="131" ht="14.2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</row>
    <row r="132" ht="14.2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</row>
    <row r="133" ht="14.2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</row>
    <row r="134" ht="14.2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</row>
    <row r="135" ht="14.2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</row>
    <row r="136" ht="14.2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</row>
    <row r="137" ht="14.2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</row>
    <row r="138" ht="14.2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</row>
    <row r="139" ht="14.2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</row>
    <row r="140" ht="14.2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</row>
    <row r="141" ht="14.2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</row>
    <row r="142" ht="14.2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</row>
    <row r="143" ht="14.2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</row>
    <row r="144" ht="14.2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</row>
    <row r="145" ht="14.2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</row>
    <row r="146" ht="14.2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</row>
    <row r="147" ht="14.2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</row>
    <row r="148" ht="14.2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</row>
    <row r="149" ht="14.2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</row>
    <row r="150" ht="14.2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</row>
    <row r="151" ht="14.2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</row>
    <row r="152" ht="14.2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</row>
    <row r="153" ht="14.2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</row>
    <row r="154" ht="14.2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</row>
    <row r="155" ht="14.2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</row>
    <row r="156" ht="14.2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</row>
    <row r="157" ht="14.2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</row>
    <row r="158" ht="14.2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</row>
    <row r="159" ht="14.2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</row>
    <row r="160" ht="14.2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</row>
    <row r="161" ht="14.2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</row>
    <row r="162" ht="14.2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</row>
    <row r="163" ht="14.2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</row>
    <row r="164" ht="14.2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</row>
    <row r="165" ht="14.2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</row>
    <row r="166" ht="14.2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</row>
    <row r="167" ht="14.2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</row>
    <row r="168" ht="14.2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</row>
    <row r="169" ht="14.2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</row>
    <row r="170" ht="14.2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</row>
    <row r="171" ht="14.2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</row>
    <row r="172" ht="14.2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</row>
    <row r="173" ht="14.2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</row>
    <row r="174" ht="14.2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</row>
    <row r="175" ht="14.2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</row>
    <row r="176" ht="14.2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</row>
    <row r="177" ht="14.2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</row>
    <row r="178" ht="14.2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</row>
    <row r="179" ht="14.2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</row>
    <row r="180" ht="14.2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</row>
    <row r="181" ht="14.2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</row>
    <row r="182" ht="14.2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</row>
    <row r="183" ht="14.2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</row>
    <row r="184" ht="14.2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</row>
    <row r="185" ht="14.2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</row>
    <row r="186" ht="14.2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</row>
    <row r="187" ht="14.2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</row>
    <row r="188" ht="14.2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</row>
    <row r="189" ht="14.2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</row>
    <row r="190" ht="14.2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</row>
    <row r="191" ht="14.2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</row>
    <row r="192" ht="14.2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</row>
    <row r="193" ht="14.2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</row>
    <row r="194" ht="14.2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</row>
    <row r="195" ht="14.2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</row>
    <row r="196" ht="14.2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</row>
    <row r="197" ht="14.2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</row>
    <row r="198" ht="14.2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</row>
    <row r="199" ht="14.2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</row>
    <row r="200" ht="14.2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</row>
    <row r="201" ht="14.2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</row>
    <row r="202" ht="14.2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</row>
    <row r="203" ht="14.2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</row>
    <row r="204" ht="14.2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</row>
    <row r="205" ht="14.2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</row>
    <row r="206" ht="14.2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</row>
    <row r="207" ht="14.2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</row>
    <row r="208" ht="14.2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</row>
    <row r="209" ht="14.2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</row>
    <row r="210" ht="14.2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</row>
    <row r="211" ht="14.2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</row>
    <row r="212" ht="14.2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</row>
    <row r="213" ht="14.2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</row>
    <row r="214" ht="14.2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</row>
    <row r="215" ht="14.2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</row>
    <row r="216" ht="14.2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</row>
    <row r="217" ht="14.2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</row>
    <row r="218" ht="14.2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</row>
    <row r="219" ht="14.2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</row>
    <row r="220" ht="14.2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</row>
    <row r="221" ht="14.2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</row>
    <row r="222" ht="14.2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</row>
    <row r="223" ht="14.2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</row>
    <row r="224" ht="14.2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</row>
    <row r="225" ht="14.2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</row>
    <row r="226" ht="14.2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</row>
    <row r="227" ht="14.2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</row>
    <row r="228" ht="14.2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</row>
    <row r="229" ht="14.2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</row>
    <row r="230" ht="14.2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</row>
    <row r="231" ht="14.2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</row>
    <row r="232" ht="14.2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</row>
    <row r="233" ht="14.2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</row>
    <row r="234" ht="14.2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</row>
    <row r="235" ht="14.2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</row>
    <row r="236" ht="14.2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</row>
    <row r="237" ht="14.2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</row>
    <row r="238" ht="14.2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</row>
    <row r="239" ht="14.2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</row>
    <row r="240" ht="14.2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</row>
    <row r="241" ht="14.2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</row>
    <row r="242" ht="14.2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</row>
    <row r="243" ht="14.2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</row>
    <row r="244" ht="14.2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</row>
    <row r="245" ht="14.2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</row>
    <row r="246" ht="14.2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</row>
    <row r="247" ht="14.2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</row>
    <row r="248" ht="14.2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</row>
    <row r="249" ht="14.2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</row>
    <row r="250" ht="14.2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</row>
    <row r="251" ht="14.2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</row>
    <row r="252" ht="14.2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</row>
    <row r="253" ht="14.2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</row>
    <row r="254" ht="14.2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</row>
    <row r="255" ht="14.2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</row>
    <row r="256" ht="14.2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</row>
    <row r="257" ht="14.2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</row>
    <row r="258" ht="14.2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</row>
    <row r="259" ht="14.2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</row>
    <row r="260" ht="14.2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</row>
    <row r="261" ht="14.2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</row>
    <row r="262" ht="14.2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</row>
    <row r="263" ht="14.2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</row>
    <row r="264" ht="14.2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</row>
    <row r="265" ht="14.2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</row>
    <row r="266" ht="14.2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</row>
    <row r="267" ht="14.2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</row>
    <row r="268" ht="14.2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</row>
    <row r="269" ht="14.2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</row>
    <row r="270" ht="14.2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</row>
    <row r="271" ht="14.2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</row>
    <row r="272" ht="14.2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</row>
    <row r="273" ht="14.2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</row>
    <row r="274" ht="14.2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</row>
    <row r="275" ht="14.2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</row>
    <row r="276" ht="14.2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</row>
    <row r="277" ht="14.2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</row>
    <row r="278" ht="14.2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</row>
    <row r="279" ht="14.2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</row>
    <row r="280" ht="14.2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</row>
    <row r="281" ht="14.2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</row>
    <row r="282" ht="14.2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</row>
    <row r="283" ht="14.2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</row>
    <row r="284" ht="14.2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</row>
    <row r="285" ht="14.2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</row>
    <row r="286" ht="14.2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</row>
    <row r="287" ht="14.2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</row>
    <row r="288" ht="14.2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</row>
    <row r="289" ht="14.2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</row>
    <row r="290" ht="14.2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</row>
    <row r="291" ht="14.2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</row>
    <row r="292" ht="14.2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</row>
    <row r="293" ht="14.2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</row>
    <row r="294" ht="14.2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</row>
    <row r="295" ht="14.2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</row>
    <row r="296" ht="14.2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</row>
    <row r="297" ht="14.2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</row>
    <row r="298" ht="14.2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</row>
    <row r="299" ht="14.2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</row>
    <row r="300" ht="14.2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</row>
    <row r="301" ht="14.2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</row>
    <row r="302" ht="14.2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</row>
    <row r="303" ht="14.2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</row>
    <row r="304" ht="14.2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</row>
    <row r="305" ht="14.2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</row>
    <row r="306" ht="14.2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</row>
    <row r="307" ht="14.2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</row>
    <row r="308" ht="14.2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</row>
    <row r="309" ht="14.2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</row>
    <row r="310" ht="14.2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</row>
    <row r="311" ht="14.2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</row>
    <row r="312" ht="14.2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</row>
    <row r="313" ht="14.2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</row>
    <row r="314" ht="14.2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</row>
    <row r="315" ht="14.2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</row>
    <row r="316" ht="14.2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</row>
    <row r="317" ht="14.2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</row>
    <row r="318" ht="14.2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</row>
    <row r="319" ht="14.2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</row>
    <row r="320" ht="14.2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</row>
    <row r="321" ht="14.2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</row>
    <row r="322" ht="14.2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</row>
    <row r="323" ht="14.2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</row>
    <row r="324" ht="14.2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</row>
    <row r="325" ht="14.2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</row>
    <row r="326" ht="14.2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</row>
    <row r="327" ht="14.2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</row>
    <row r="328" ht="14.2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</row>
    <row r="329" ht="14.2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</row>
    <row r="330" ht="14.2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</row>
    <row r="331" ht="14.2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</row>
    <row r="332" ht="14.2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</row>
    <row r="333" ht="14.2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</row>
    <row r="334" ht="14.2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</row>
    <row r="335" ht="14.2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</row>
    <row r="336" ht="14.2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</row>
    <row r="337" ht="14.2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</row>
    <row r="338" ht="14.2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</row>
    <row r="339" ht="14.2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</row>
    <row r="340" ht="14.2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</row>
    <row r="341" ht="14.2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</row>
    <row r="342" ht="14.2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</row>
    <row r="343" ht="14.2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</row>
    <row r="344" ht="14.2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</row>
    <row r="345" ht="14.2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</row>
    <row r="346" ht="14.2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</row>
    <row r="347" ht="14.2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</row>
    <row r="348" ht="14.2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</row>
    <row r="349" ht="14.2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</row>
    <row r="350" ht="14.2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</row>
    <row r="351" ht="14.2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</row>
    <row r="352" ht="14.2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</row>
    <row r="353" ht="14.2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</row>
    <row r="354" ht="14.2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</row>
    <row r="355" ht="14.2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</row>
    <row r="356" ht="14.2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</row>
    <row r="357" ht="14.2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</row>
    <row r="358" ht="14.2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</row>
    <row r="359" ht="14.2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</row>
    <row r="360" ht="14.2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</row>
    <row r="361" ht="14.2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</row>
    <row r="362" ht="14.2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</row>
    <row r="363" ht="14.2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</row>
    <row r="364" ht="14.2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</row>
    <row r="365" ht="14.2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</row>
    <row r="366" ht="14.2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</row>
    <row r="367" ht="14.2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</row>
    <row r="368" ht="14.2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</row>
    <row r="369" ht="14.2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</row>
    <row r="370" ht="14.2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</row>
    <row r="371" ht="14.2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</row>
    <row r="372" ht="14.2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</row>
    <row r="373" ht="14.2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</row>
    <row r="374" ht="14.2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</row>
    <row r="375" ht="14.2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</row>
    <row r="376" ht="14.2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</row>
    <row r="377" ht="14.2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</row>
    <row r="378" ht="14.2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</row>
    <row r="379" ht="14.2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</row>
    <row r="380" ht="14.2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</row>
    <row r="381" ht="14.2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</row>
    <row r="382" ht="14.2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</row>
    <row r="383" ht="14.2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</row>
    <row r="384" ht="14.2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</row>
    <row r="385" ht="14.2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</row>
    <row r="386" ht="14.2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</row>
    <row r="387" ht="14.2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</row>
    <row r="388" ht="14.2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</row>
    <row r="389" ht="14.2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</row>
    <row r="390" ht="14.2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</row>
    <row r="391" ht="14.2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</row>
    <row r="392" ht="14.2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</row>
    <row r="393" ht="14.2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</row>
    <row r="394" ht="14.2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</row>
    <row r="395" ht="14.2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</row>
    <row r="396" ht="14.2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</row>
    <row r="397" ht="14.2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</row>
    <row r="398" ht="14.2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</row>
    <row r="399" ht="14.2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</row>
    <row r="400" ht="14.2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</row>
    <row r="401" ht="14.2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</row>
    <row r="402" ht="14.2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</row>
    <row r="403" ht="14.2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</row>
    <row r="404" ht="14.2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</row>
    <row r="405" ht="14.2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</row>
    <row r="406" ht="14.2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</row>
    <row r="407" ht="14.2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</row>
    <row r="408" ht="14.2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</row>
    <row r="409" ht="14.2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</row>
    <row r="410" ht="14.2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</row>
    <row r="411" ht="14.2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</row>
    <row r="412" ht="14.2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</row>
    <row r="413" ht="14.2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</row>
    <row r="414" ht="14.2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</row>
    <row r="415" ht="14.2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</row>
    <row r="416" ht="14.2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</row>
    <row r="417" ht="14.2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</row>
    <row r="418" ht="14.2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</row>
    <row r="419" ht="14.2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</row>
    <row r="420" ht="14.2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</row>
    <row r="421" ht="14.2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</row>
    <row r="422" ht="14.2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</row>
    <row r="423" ht="14.2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</row>
    <row r="424" ht="14.2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</row>
    <row r="425" ht="14.2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</row>
    <row r="426" ht="14.2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</row>
    <row r="427" ht="14.2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</row>
    <row r="428" ht="14.2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</row>
    <row r="429" ht="14.2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</row>
    <row r="430" ht="14.2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</row>
    <row r="431" ht="14.2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</row>
    <row r="432" ht="14.2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</row>
    <row r="433" ht="14.2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</row>
    <row r="434" ht="14.2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</row>
    <row r="435" ht="14.2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</row>
    <row r="436" ht="14.2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</row>
    <row r="437" ht="14.2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</row>
    <row r="438" ht="14.2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</row>
    <row r="439" ht="14.2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</row>
    <row r="440" ht="14.2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</row>
    <row r="441" ht="14.2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</row>
    <row r="442" ht="14.2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</row>
    <row r="443" ht="14.2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</row>
    <row r="444" ht="14.2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</row>
    <row r="445" ht="14.2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</row>
    <row r="446" ht="14.2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</row>
    <row r="447" ht="14.2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</row>
    <row r="448" ht="14.2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</row>
    <row r="449" ht="14.2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</row>
    <row r="450" ht="14.2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</row>
    <row r="451" ht="14.2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</row>
    <row r="452" ht="14.2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</row>
    <row r="453" ht="14.2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</row>
    <row r="454" ht="14.2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</row>
    <row r="455" ht="14.2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</row>
    <row r="456" ht="14.2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</row>
    <row r="457" ht="14.2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</row>
    <row r="458" ht="14.2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</row>
    <row r="459" ht="14.2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</row>
    <row r="460" ht="14.2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</row>
    <row r="461" ht="14.2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</row>
    <row r="462" ht="14.2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</row>
    <row r="463" ht="14.2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</row>
    <row r="464" ht="14.2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</row>
    <row r="465" ht="14.2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</row>
    <row r="466" ht="14.2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</row>
    <row r="467" ht="14.2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</row>
    <row r="468" ht="14.2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</row>
    <row r="469" ht="14.2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</row>
    <row r="470" ht="14.2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</row>
    <row r="471" ht="14.2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</row>
    <row r="472" ht="14.2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</row>
    <row r="473" ht="14.2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</row>
    <row r="474" ht="14.2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</row>
    <row r="475" ht="14.2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</row>
    <row r="476" ht="14.2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</row>
    <row r="477" ht="14.2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</row>
    <row r="478" ht="14.2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</row>
    <row r="479" ht="14.2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</row>
    <row r="480" ht="14.2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</row>
    <row r="481" ht="14.2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</row>
    <row r="482" ht="14.2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</row>
    <row r="483" ht="14.2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</row>
    <row r="484" ht="14.2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</row>
    <row r="485" ht="14.2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</row>
    <row r="486" ht="14.2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</row>
    <row r="487" ht="14.2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</row>
    <row r="488" ht="14.2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</row>
    <row r="489" ht="14.2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</row>
    <row r="490" ht="14.2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</row>
    <row r="491" ht="14.2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</row>
    <row r="492" ht="14.2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</row>
    <row r="493" ht="14.2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</row>
    <row r="494" ht="14.2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</row>
    <row r="495" ht="14.2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</row>
    <row r="496" ht="14.2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</row>
    <row r="497" ht="14.2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</row>
    <row r="498" ht="14.2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</row>
    <row r="499" ht="14.2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</row>
    <row r="500" ht="14.2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</row>
    <row r="501" ht="14.2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</row>
    <row r="502" ht="14.2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</row>
    <row r="503" ht="14.2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</row>
    <row r="504" ht="14.2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</row>
    <row r="505" ht="14.2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</row>
    <row r="506" ht="14.2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</row>
    <row r="507" ht="14.2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</row>
    <row r="508" ht="14.2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</row>
    <row r="509" ht="14.2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</row>
    <row r="510" ht="14.2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</row>
    <row r="511" ht="14.2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</row>
    <row r="512" ht="14.2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</row>
    <row r="513" ht="14.2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</row>
    <row r="514" ht="14.2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</row>
    <row r="515" ht="14.2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</row>
    <row r="516" ht="14.2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</row>
    <row r="517" ht="14.2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</row>
    <row r="518" ht="14.2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</row>
    <row r="519" ht="14.2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</row>
    <row r="520" ht="14.2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</row>
    <row r="521" ht="14.2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</row>
    <row r="522" ht="14.2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</row>
    <row r="523" ht="14.2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</row>
    <row r="524" ht="14.2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</row>
    <row r="525" ht="14.2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</row>
    <row r="526" ht="14.2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</row>
    <row r="527" ht="14.2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</row>
    <row r="528" ht="14.2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</row>
    <row r="529" ht="14.2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</row>
    <row r="530" ht="14.2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</row>
    <row r="531" ht="14.2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</row>
    <row r="532" ht="14.2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</row>
    <row r="533" ht="14.2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</row>
    <row r="534" ht="14.2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</row>
    <row r="535" ht="14.2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</row>
    <row r="536" ht="14.2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</row>
    <row r="537" ht="14.2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</row>
    <row r="538" ht="14.2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</row>
    <row r="539" ht="14.2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</row>
    <row r="540" ht="14.2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</row>
    <row r="541" ht="14.2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</row>
    <row r="542" ht="14.2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</row>
    <row r="543" ht="14.2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</row>
    <row r="544" ht="14.2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</row>
    <row r="545" ht="14.2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</row>
    <row r="546" ht="14.2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</row>
    <row r="547" ht="14.2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</row>
    <row r="548" ht="14.2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</row>
    <row r="549" ht="14.2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</row>
    <row r="550" ht="14.2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</row>
    <row r="551" ht="14.2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</row>
    <row r="552" ht="14.2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</row>
    <row r="553" ht="14.2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</row>
    <row r="554" ht="14.2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</row>
    <row r="555" ht="14.2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</row>
    <row r="556" ht="14.2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</row>
    <row r="557" ht="14.2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</row>
    <row r="558" ht="14.2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</row>
    <row r="559" ht="14.2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</row>
    <row r="560" ht="14.2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</row>
    <row r="561" ht="14.2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</row>
    <row r="562" ht="14.2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</row>
    <row r="563" ht="14.2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</row>
    <row r="564" ht="14.2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</row>
    <row r="565" ht="14.2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  <c r="AC565" s="1" t="n"/>
      <c r="AD565" s="1" t="n"/>
      <c r="AE565" s="1" t="n"/>
      <c r="AF565" s="1" t="n"/>
      <c r="AG565" s="1" t="n"/>
      <c r="AH565" s="1" t="n"/>
      <c r="AI565" s="1" t="n"/>
      <c r="AJ565" s="1" t="n"/>
      <c r="AK565" s="1" t="n"/>
      <c r="AL565" s="1" t="n"/>
    </row>
    <row r="566" ht="14.2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  <c r="AC566" s="1" t="n"/>
      <c r="AD566" s="1" t="n"/>
      <c r="AE566" s="1" t="n"/>
      <c r="AF566" s="1" t="n"/>
      <c r="AG566" s="1" t="n"/>
      <c r="AH566" s="1" t="n"/>
      <c r="AI566" s="1" t="n"/>
      <c r="AJ566" s="1" t="n"/>
      <c r="AK566" s="1" t="n"/>
      <c r="AL566" s="1" t="n"/>
    </row>
    <row r="567" ht="14.2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  <c r="AC567" s="1" t="n"/>
      <c r="AD567" s="1" t="n"/>
      <c r="AE567" s="1" t="n"/>
      <c r="AF567" s="1" t="n"/>
      <c r="AG567" s="1" t="n"/>
      <c r="AH567" s="1" t="n"/>
      <c r="AI567" s="1" t="n"/>
      <c r="AJ567" s="1" t="n"/>
      <c r="AK567" s="1" t="n"/>
      <c r="AL567" s="1" t="n"/>
    </row>
    <row r="568" ht="14.2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  <c r="AC568" s="1" t="n"/>
      <c r="AD568" s="1" t="n"/>
      <c r="AE568" s="1" t="n"/>
      <c r="AF568" s="1" t="n"/>
      <c r="AG568" s="1" t="n"/>
      <c r="AH568" s="1" t="n"/>
      <c r="AI568" s="1" t="n"/>
      <c r="AJ568" s="1" t="n"/>
      <c r="AK568" s="1" t="n"/>
      <c r="AL568" s="1" t="n"/>
    </row>
    <row r="569" ht="14.2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  <c r="AC569" s="1" t="n"/>
      <c r="AD569" s="1" t="n"/>
      <c r="AE569" s="1" t="n"/>
      <c r="AF569" s="1" t="n"/>
      <c r="AG569" s="1" t="n"/>
      <c r="AH569" s="1" t="n"/>
      <c r="AI569" s="1" t="n"/>
      <c r="AJ569" s="1" t="n"/>
      <c r="AK569" s="1" t="n"/>
      <c r="AL569" s="1" t="n"/>
    </row>
    <row r="570" ht="14.2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  <c r="AC570" s="1" t="n"/>
      <c r="AD570" s="1" t="n"/>
      <c r="AE570" s="1" t="n"/>
      <c r="AF570" s="1" t="n"/>
      <c r="AG570" s="1" t="n"/>
      <c r="AH570" s="1" t="n"/>
      <c r="AI570" s="1" t="n"/>
      <c r="AJ570" s="1" t="n"/>
      <c r="AK570" s="1" t="n"/>
      <c r="AL570" s="1" t="n"/>
    </row>
    <row r="571" ht="14.2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  <c r="AC571" s="1" t="n"/>
      <c r="AD571" s="1" t="n"/>
      <c r="AE571" s="1" t="n"/>
      <c r="AF571" s="1" t="n"/>
      <c r="AG571" s="1" t="n"/>
      <c r="AH571" s="1" t="n"/>
      <c r="AI571" s="1" t="n"/>
      <c r="AJ571" s="1" t="n"/>
      <c r="AK571" s="1" t="n"/>
      <c r="AL571" s="1" t="n"/>
    </row>
    <row r="572" ht="14.2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  <c r="AC572" s="1" t="n"/>
      <c r="AD572" s="1" t="n"/>
      <c r="AE572" s="1" t="n"/>
      <c r="AF572" s="1" t="n"/>
      <c r="AG572" s="1" t="n"/>
      <c r="AH572" s="1" t="n"/>
      <c r="AI572" s="1" t="n"/>
      <c r="AJ572" s="1" t="n"/>
      <c r="AK572" s="1" t="n"/>
      <c r="AL572" s="1" t="n"/>
    </row>
    <row r="573" ht="14.2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  <c r="AC573" s="1" t="n"/>
      <c r="AD573" s="1" t="n"/>
      <c r="AE573" s="1" t="n"/>
      <c r="AF573" s="1" t="n"/>
      <c r="AG573" s="1" t="n"/>
      <c r="AH573" s="1" t="n"/>
      <c r="AI573" s="1" t="n"/>
      <c r="AJ573" s="1" t="n"/>
      <c r="AK573" s="1" t="n"/>
      <c r="AL573" s="1" t="n"/>
    </row>
    <row r="574" ht="14.2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  <c r="AC574" s="1" t="n"/>
      <c r="AD574" s="1" t="n"/>
      <c r="AE574" s="1" t="n"/>
      <c r="AF574" s="1" t="n"/>
      <c r="AG574" s="1" t="n"/>
      <c r="AH574" s="1" t="n"/>
      <c r="AI574" s="1" t="n"/>
      <c r="AJ574" s="1" t="n"/>
      <c r="AK574" s="1" t="n"/>
      <c r="AL574" s="1" t="n"/>
    </row>
    <row r="575" ht="14.2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  <c r="AC575" s="1" t="n"/>
      <c r="AD575" s="1" t="n"/>
      <c r="AE575" s="1" t="n"/>
      <c r="AF575" s="1" t="n"/>
      <c r="AG575" s="1" t="n"/>
      <c r="AH575" s="1" t="n"/>
      <c r="AI575" s="1" t="n"/>
      <c r="AJ575" s="1" t="n"/>
      <c r="AK575" s="1" t="n"/>
      <c r="AL575" s="1" t="n"/>
    </row>
    <row r="576" ht="14.2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  <c r="AC576" s="1" t="n"/>
      <c r="AD576" s="1" t="n"/>
      <c r="AE576" s="1" t="n"/>
      <c r="AF576" s="1" t="n"/>
      <c r="AG576" s="1" t="n"/>
      <c r="AH576" s="1" t="n"/>
      <c r="AI576" s="1" t="n"/>
      <c r="AJ576" s="1" t="n"/>
      <c r="AK576" s="1" t="n"/>
      <c r="AL576" s="1" t="n"/>
    </row>
    <row r="577" ht="14.2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  <c r="AC577" s="1" t="n"/>
      <c r="AD577" s="1" t="n"/>
      <c r="AE577" s="1" t="n"/>
      <c r="AF577" s="1" t="n"/>
      <c r="AG577" s="1" t="n"/>
      <c r="AH577" s="1" t="n"/>
      <c r="AI577" s="1" t="n"/>
      <c r="AJ577" s="1" t="n"/>
      <c r="AK577" s="1" t="n"/>
      <c r="AL577" s="1" t="n"/>
    </row>
    <row r="578" ht="14.2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  <c r="AC578" s="1" t="n"/>
      <c r="AD578" s="1" t="n"/>
      <c r="AE578" s="1" t="n"/>
      <c r="AF578" s="1" t="n"/>
      <c r="AG578" s="1" t="n"/>
      <c r="AH578" s="1" t="n"/>
      <c r="AI578" s="1" t="n"/>
      <c r="AJ578" s="1" t="n"/>
      <c r="AK578" s="1" t="n"/>
      <c r="AL578" s="1" t="n"/>
    </row>
    <row r="579" ht="14.2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  <c r="AC579" s="1" t="n"/>
      <c r="AD579" s="1" t="n"/>
      <c r="AE579" s="1" t="n"/>
      <c r="AF579" s="1" t="n"/>
      <c r="AG579" s="1" t="n"/>
      <c r="AH579" s="1" t="n"/>
      <c r="AI579" s="1" t="n"/>
      <c r="AJ579" s="1" t="n"/>
      <c r="AK579" s="1" t="n"/>
      <c r="AL579" s="1" t="n"/>
    </row>
    <row r="580" ht="14.2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  <c r="AC580" s="1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</row>
    <row r="581" ht="14.2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  <c r="AC581" s="1" t="n"/>
      <c r="AD581" s="1" t="n"/>
      <c r="AE581" s="1" t="n"/>
      <c r="AF581" s="1" t="n"/>
      <c r="AG581" s="1" t="n"/>
      <c r="AH581" s="1" t="n"/>
      <c r="AI581" s="1" t="n"/>
      <c r="AJ581" s="1" t="n"/>
      <c r="AK581" s="1" t="n"/>
      <c r="AL581" s="1" t="n"/>
    </row>
    <row r="582" ht="14.2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  <c r="AC582" s="1" t="n"/>
      <c r="AD582" s="1" t="n"/>
      <c r="AE582" s="1" t="n"/>
      <c r="AF582" s="1" t="n"/>
      <c r="AG582" s="1" t="n"/>
      <c r="AH582" s="1" t="n"/>
      <c r="AI582" s="1" t="n"/>
      <c r="AJ582" s="1" t="n"/>
      <c r="AK582" s="1" t="n"/>
      <c r="AL582" s="1" t="n"/>
    </row>
    <row r="583" ht="14.2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  <c r="AC583" s="1" t="n"/>
      <c r="AD583" s="1" t="n"/>
      <c r="AE583" s="1" t="n"/>
      <c r="AF583" s="1" t="n"/>
      <c r="AG583" s="1" t="n"/>
      <c r="AH583" s="1" t="n"/>
      <c r="AI583" s="1" t="n"/>
      <c r="AJ583" s="1" t="n"/>
      <c r="AK583" s="1" t="n"/>
      <c r="AL583" s="1" t="n"/>
    </row>
    <row r="584" ht="14.2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  <c r="AC584" s="1" t="n"/>
      <c r="AD584" s="1" t="n"/>
      <c r="AE584" s="1" t="n"/>
      <c r="AF584" s="1" t="n"/>
      <c r="AG584" s="1" t="n"/>
      <c r="AH584" s="1" t="n"/>
      <c r="AI584" s="1" t="n"/>
      <c r="AJ584" s="1" t="n"/>
      <c r="AK584" s="1" t="n"/>
      <c r="AL584" s="1" t="n"/>
    </row>
    <row r="585" ht="14.2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  <c r="AC585" s="1" t="n"/>
      <c r="AD585" s="1" t="n"/>
      <c r="AE585" s="1" t="n"/>
      <c r="AF585" s="1" t="n"/>
      <c r="AG585" s="1" t="n"/>
      <c r="AH585" s="1" t="n"/>
      <c r="AI585" s="1" t="n"/>
      <c r="AJ585" s="1" t="n"/>
      <c r="AK585" s="1" t="n"/>
      <c r="AL585" s="1" t="n"/>
    </row>
    <row r="586" ht="14.2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  <c r="AC586" s="1" t="n"/>
      <c r="AD586" s="1" t="n"/>
      <c r="AE586" s="1" t="n"/>
      <c r="AF586" s="1" t="n"/>
      <c r="AG586" s="1" t="n"/>
      <c r="AH586" s="1" t="n"/>
      <c r="AI586" s="1" t="n"/>
      <c r="AJ586" s="1" t="n"/>
      <c r="AK586" s="1" t="n"/>
      <c r="AL586" s="1" t="n"/>
    </row>
    <row r="587" ht="14.2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  <c r="AC587" s="1" t="n"/>
      <c r="AD587" s="1" t="n"/>
      <c r="AE587" s="1" t="n"/>
      <c r="AF587" s="1" t="n"/>
      <c r="AG587" s="1" t="n"/>
      <c r="AH587" s="1" t="n"/>
      <c r="AI587" s="1" t="n"/>
      <c r="AJ587" s="1" t="n"/>
      <c r="AK587" s="1" t="n"/>
      <c r="AL587" s="1" t="n"/>
    </row>
    <row r="588" ht="14.2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  <c r="AC588" s="1" t="n"/>
      <c r="AD588" s="1" t="n"/>
      <c r="AE588" s="1" t="n"/>
      <c r="AF588" s="1" t="n"/>
      <c r="AG588" s="1" t="n"/>
      <c r="AH588" s="1" t="n"/>
      <c r="AI588" s="1" t="n"/>
      <c r="AJ588" s="1" t="n"/>
      <c r="AK588" s="1" t="n"/>
      <c r="AL588" s="1" t="n"/>
    </row>
    <row r="589" ht="14.2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  <c r="AC589" s="1" t="n"/>
      <c r="AD589" s="1" t="n"/>
      <c r="AE589" s="1" t="n"/>
      <c r="AF589" s="1" t="n"/>
      <c r="AG589" s="1" t="n"/>
      <c r="AH589" s="1" t="n"/>
      <c r="AI589" s="1" t="n"/>
      <c r="AJ589" s="1" t="n"/>
      <c r="AK589" s="1" t="n"/>
      <c r="AL589" s="1" t="n"/>
    </row>
    <row r="590" ht="14.2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  <c r="AC590" s="1" t="n"/>
      <c r="AD590" s="1" t="n"/>
      <c r="AE590" s="1" t="n"/>
      <c r="AF590" s="1" t="n"/>
      <c r="AG590" s="1" t="n"/>
      <c r="AH590" s="1" t="n"/>
      <c r="AI590" s="1" t="n"/>
      <c r="AJ590" s="1" t="n"/>
      <c r="AK590" s="1" t="n"/>
      <c r="AL590" s="1" t="n"/>
    </row>
    <row r="591" ht="14.2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  <c r="AC591" s="1" t="n"/>
      <c r="AD591" s="1" t="n"/>
      <c r="AE591" s="1" t="n"/>
      <c r="AF591" s="1" t="n"/>
      <c r="AG591" s="1" t="n"/>
      <c r="AH591" s="1" t="n"/>
      <c r="AI591" s="1" t="n"/>
      <c r="AJ591" s="1" t="n"/>
      <c r="AK591" s="1" t="n"/>
      <c r="AL591" s="1" t="n"/>
    </row>
    <row r="592" ht="14.2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  <c r="AC592" s="1" t="n"/>
      <c r="AD592" s="1" t="n"/>
      <c r="AE592" s="1" t="n"/>
      <c r="AF592" s="1" t="n"/>
      <c r="AG592" s="1" t="n"/>
      <c r="AH592" s="1" t="n"/>
      <c r="AI592" s="1" t="n"/>
      <c r="AJ592" s="1" t="n"/>
      <c r="AK592" s="1" t="n"/>
      <c r="AL592" s="1" t="n"/>
    </row>
    <row r="593" ht="14.2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  <c r="AC593" s="1" t="n"/>
      <c r="AD593" s="1" t="n"/>
      <c r="AE593" s="1" t="n"/>
      <c r="AF593" s="1" t="n"/>
      <c r="AG593" s="1" t="n"/>
      <c r="AH593" s="1" t="n"/>
      <c r="AI593" s="1" t="n"/>
      <c r="AJ593" s="1" t="n"/>
      <c r="AK593" s="1" t="n"/>
      <c r="AL593" s="1" t="n"/>
    </row>
    <row r="594" ht="14.2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  <c r="AC594" s="1" t="n"/>
      <c r="AD594" s="1" t="n"/>
      <c r="AE594" s="1" t="n"/>
      <c r="AF594" s="1" t="n"/>
      <c r="AG594" s="1" t="n"/>
      <c r="AH594" s="1" t="n"/>
      <c r="AI594" s="1" t="n"/>
      <c r="AJ594" s="1" t="n"/>
      <c r="AK594" s="1" t="n"/>
      <c r="AL594" s="1" t="n"/>
    </row>
    <row r="595" ht="14.2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  <c r="AC595" s="1" t="n"/>
      <c r="AD595" s="1" t="n"/>
      <c r="AE595" s="1" t="n"/>
      <c r="AF595" s="1" t="n"/>
      <c r="AG595" s="1" t="n"/>
      <c r="AH595" s="1" t="n"/>
      <c r="AI595" s="1" t="n"/>
      <c r="AJ595" s="1" t="n"/>
      <c r="AK595" s="1" t="n"/>
      <c r="AL595" s="1" t="n"/>
    </row>
    <row r="596" ht="14.2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  <c r="AC596" s="1" t="n"/>
      <c r="AD596" s="1" t="n"/>
      <c r="AE596" s="1" t="n"/>
      <c r="AF596" s="1" t="n"/>
      <c r="AG596" s="1" t="n"/>
      <c r="AH596" s="1" t="n"/>
      <c r="AI596" s="1" t="n"/>
      <c r="AJ596" s="1" t="n"/>
      <c r="AK596" s="1" t="n"/>
      <c r="AL596" s="1" t="n"/>
    </row>
    <row r="597" ht="14.2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  <c r="AC597" s="1" t="n"/>
      <c r="AD597" s="1" t="n"/>
      <c r="AE597" s="1" t="n"/>
      <c r="AF597" s="1" t="n"/>
      <c r="AG597" s="1" t="n"/>
      <c r="AH597" s="1" t="n"/>
      <c r="AI597" s="1" t="n"/>
      <c r="AJ597" s="1" t="n"/>
      <c r="AK597" s="1" t="n"/>
      <c r="AL597" s="1" t="n"/>
    </row>
    <row r="598" ht="14.2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  <c r="AC598" s="1" t="n"/>
      <c r="AD598" s="1" t="n"/>
      <c r="AE598" s="1" t="n"/>
      <c r="AF598" s="1" t="n"/>
      <c r="AG598" s="1" t="n"/>
      <c r="AH598" s="1" t="n"/>
      <c r="AI598" s="1" t="n"/>
      <c r="AJ598" s="1" t="n"/>
      <c r="AK598" s="1" t="n"/>
      <c r="AL598" s="1" t="n"/>
    </row>
    <row r="599" ht="14.2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  <c r="AC599" s="1" t="n"/>
      <c r="AD599" s="1" t="n"/>
      <c r="AE599" s="1" t="n"/>
      <c r="AF599" s="1" t="n"/>
      <c r="AG599" s="1" t="n"/>
      <c r="AH599" s="1" t="n"/>
      <c r="AI599" s="1" t="n"/>
      <c r="AJ599" s="1" t="n"/>
      <c r="AK599" s="1" t="n"/>
      <c r="AL599" s="1" t="n"/>
    </row>
    <row r="600" ht="14.2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  <c r="AC600" s="1" t="n"/>
      <c r="AD600" s="1" t="n"/>
      <c r="AE600" s="1" t="n"/>
      <c r="AF600" s="1" t="n"/>
      <c r="AG600" s="1" t="n"/>
      <c r="AH600" s="1" t="n"/>
      <c r="AI600" s="1" t="n"/>
      <c r="AJ600" s="1" t="n"/>
      <c r="AK600" s="1" t="n"/>
      <c r="AL600" s="1" t="n"/>
    </row>
    <row r="601" ht="14.2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  <c r="AC601" s="1" t="n"/>
      <c r="AD601" s="1" t="n"/>
      <c r="AE601" s="1" t="n"/>
      <c r="AF601" s="1" t="n"/>
      <c r="AG601" s="1" t="n"/>
      <c r="AH601" s="1" t="n"/>
      <c r="AI601" s="1" t="n"/>
      <c r="AJ601" s="1" t="n"/>
      <c r="AK601" s="1" t="n"/>
      <c r="AL601" s="1" t="n"/>
    </row>
    <row r="602" ht="14.2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  <c r="AC602" s="1" t="n"/>
      <c r="AD602" s="1" t="n"/>
      <c r="AE602" s="1" t="n"/>
      <c r="AF602" s="1" t="n"/>
      <c r="AG602" s="1" t="n"/>
      <c r="AH602" s="1" t="n"/>
      <c r="AI602" s="1" t="n"/>
      <c r="AJ602" s="1" t="n"/>
      <c r="AK602" s="1" t="n"/>
      <c r="AL602" s="1" t="n"/>
    </row>
    <row r="603" ht="14.2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  <c r="AC603" s="1" t="n"/>
      <c r="AD603" s="1" t="n"/>
      <c r="AE603" s="1" t="n"/>
      <c r="AF603" s="1" t="n"/>
      <c r="AG603" s="1" t="n"/>
      <c r="AH603" s="1" t="n"/>
      <c r="AI603" s="1" t="n"/>
      <c r="AJ603" s="1" t="n"/>
      <c r="AK603" s="1" t="n"/>
      <c r="AL603" s="1" t="n"/>
    </row>
    <row r="604" ht="14.2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  <c r="AC604" s="1" t="n"/>
      <c r="AD604" s="1" t="n"/>
      <c r="AE604" s="1" t="n"/>
      <c r="AF604" s="1" t="n"/>
      <c r="AG604" s="1" t="n"/>
      <c r="AH604" s="1" t="n"/>
      <c r="AI604" s="1" t="n"/>
      <c r="AJ604" s="1" t="n"/>
      <c r="AK604" s="1" t="n"/>
      <c r="AL604" s="1" t="n"/>
    </row>
    <row r="605" ht="14.2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  <c r="AC605" s="1" t="n"/>
      <c r="AD605" s="1" t="n"/>
      <c r="AE605" s="1" t="n"/>
      <c r="AF605" s="1" t="n"/>
      <c r="AG605" s="1" t="n"/>
      <c r="AH605" s="1" t="n"/>
      <c r="AI605" s="1" t="n"/>
      <c r="AJ605" s="1" t="n"/>
      <c r="AK605" s="1" t="n"/>
      <c r="AL605" s="1" t="n"/>
    </row>
    <row r="606" ht="14.2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  <c r="AC606" s="1" t="n"/>
      <c r="AD606" s="1" t="n"/>
      <c r="AE606" s="1" t="n"/>
      <c r="AF606" s="1" t="n"/>
      <c r="AG606" s="1" t="n"/>
      <c r="AH606" s="1" t="n"/>
      <c r="AI606" s="1" t="n"/>
      <c r="AJ606" s="1" t="n"/>
      <c r="AK606" s="1" t="n"/>
      <c r="AL606" s="1" t="n"/>
    </row>
    <row r="607" ht="14.2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  <c r="AC607" s="1" t="n"/>
      <c r="AD607" s="1" t="n"/>
      <c r="AE607" s="1" t="n"/>
      <c r="AF607" s="1" t="n"/>
      <c r="AG607" s="1" t="n"/>
      <c r="AH607" s="1" t="n"/>
      <c r="AI607" s="1" t="n"/>
      <c r="AJ607" s="1" t="n"/>
      <c r="AK607" s="1" t="n"/>
      <c r="AL607" s="1" t="n"/>
    </row>
    <row r="608" ht="14.2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  <c r="AC608" s="1" t="n"/>
      <c r="AD608" s="1" t="n"/>
      <c r="AE608" s="1" t="n"/>
      <c r="AF608" s="1" t="n"/>
      <c r="AG608" s="1" t="n"/>
      <c r="AH608" s="1" t="n"/>
      <c r="AI608" s="1" t="n"/>
      <c r="AJ608" s="1" t="n"/>
      <c r="AK608" s="1" t="n"/>
      <c r="AL608" s="1" t="n"/>
    </row>
    <row r="609" ht="14.2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  <c r="AC609" s="1" t="n"/>
      <c r="AD609" s="1" t="n"/>
      <c r="AE609" s="1" t="n"/>
      <c r="AF609" s="1" t="n"/>
      <c r="AG609" s="1" t="n"/>
      <c r="AH609" s="1" t="n"/>
      <c r="AI609" s="1" t="n"/>
      <c r="AJ609" s="1" t="n"/>
      <c r="AK609" s="1" t="n"/>
      <c r="AL609" s="1" t="n"/>
    </row>
    <row r="610" ht="14.2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  <c r="AC610" s="1" t="n"/>
      <c r="AD610" s="1" t="n"/>
      <c r="AE610" s="1" t="n"/>
      <c r="AF610" s="1" t="n"/>
      <c r="AG610" s="1" t="n"/>
      <c r="AH610" s="1" t="n"/>
      <c r="AI610" s="1" t="n"/>
      <c r="AJ610" s="1" t="n"/>
      <c r="AK610" s="1" t="n"/>
      <c r="AL610" s="1" t="n"/>
    </row>
    <row r="611" ht="14.2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  <c r="AC611" s="1" t="n"/>
      <c r="AD611" s="1" t="n"/>
      <c r="AE611" s="1" t="n"/>
      <c r="AF611" s="1" t="n"/>
      <c r="AG611" s="1" t="n"/>
      <c r="AH611" s="1" t="n"/>
      <c r="AI611" s="1" t="n"/>
      <c r="AJ611" s="1" t="n"/>
      <c r="AK611" s="1" t="n"/>
      <c r="AL611" s="1" t="n"/>
    </row>
    <row r="612" ht="14.2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  <c r="AC612" s="1" t="n"/>
      <c r="AD612" s="1" t="n"/>
      <c r="AE612" s="1" t="n"/>
      <c r="AF612" s="1" t="n"/>
      <c r="AG612" s="1" t="n"/>
      <c r="AH612" s="1" t="n"/>
      <c r="AI612" s="1" t="n"/>
      <c r="AJ612" s="1" t="n"/>
      <c r="AK612" s="1" t="n"/>
      <c r="AL612" s="1" t="n"/>
    </row>
    <row r="613" ht="14.2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  <c r="AC613" s="1" t="n"/>
      <c r="AD613" s="1" t="n"/>
      <c r="AE613" s="1" t="n"/>
      <c r="AF613" s="1" t="n"/>
      <c r="AG613" s="1" t="n"/>
      <c r="AH613" s="1" t="n"/>
      <c r="AI613" s="1" t="n"/>
      <c r="AJ613" s="1" t="n"/>
      <c r="AK613" s="1" t="n"/>
      <c r="AL613" s="1" t="n"/>
    </row>
    <row r="614" ht="14.2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  <c r="AC614" s="1" t="n"/>
      <c r="AD614" s="1" t="n"/>
      <c r="AE614" s="1" t="n"/>
      <c r="AF614" s="1" t="n"/>
      <c r="AG614" s="1" t="n"/>
      <c r="AH614" s="1" t="n"/>
      <c r="AI614" s="1" t="n"/>
      <c r="AJ614" s="1" t="n"/>
      <c r="AK614" s="1" t="n"/>
      <c r="AL614" s="1" t="n"/>
    </row>
    <row r="615" ht="14.2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  <c r="AC615" s="1" t="n"/>
      <c r="AD615" s="1" t="n"/>
      <c r="AE615" s="1" t="n"/>
      <c r="AF615" s="1" t="n"/>
      <c r="AG615" s="1" t="n"/>
      <c r="AH615" s="1" t="n"/>
      <c r="AI615" s="1" t="n"/>
      <c r="AJ615" s="1" t="n"/>
      <c r="AK615" s="1" t="n"/>
      <c r="AL615" s="1" t="n"/>
    </row>
    <row r="616" ht="14.2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  <c r="AC616" s="1" t="n"/>
      <c r="AD616" s="1" t="n"/>
      <c r="AE616" s="1" t="n"/>
      <c r="AF616" s="1" t="n"/>
      <c r="AG616" s="1" t="n"/>
      <c r="AH616" s="1" t="n"/>
      <c r="AI616" s="1" t="n"/>
      <c r="AJ616" s="1" t="n"/>
      <c r="AK616" s="1" t="n"/>
      <c r="AL616" s="1" t="n"/>
    </row>
    <row r="617" ht="14.2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  <c r="AC617" s="1" t="n"/>
      <c r="AD617" s="1" t="n"/>
      <c r="AE617" s="1" t="n"/>
      <c r="AF617" s="1" t="n"/>
      <c r="AG617" s="1" t="n"/>
      <c r="AH617" s="1" t="n"/>
      <c r="AI617" s="1" t="n"/>
      <c r="AJ617" s="1" t="n"/>
      <c r="AK617" s="1" t="n"/>
      <c r="AL617" s="1" t="n"/>
    </row>
    <row r="618" ht="14.2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  <c r="AC618" s="1" t="n"/>
      <c r="AD618" s="1" t="n"/>
      <c r="AE618" s="1" t="n"/>
      <c r="AF618" s="1" t="n"/>
      <c r="AG618" s="1" t="n"/>
      <c r="AH618" s="1" t="n"/>
      <c r="AI618" s="1" t="n"/>
      <c r="AJ618" s="1" t="n"/>
      <c r="AK618" s="1" t="n"/>
      <c r="AL618" s="1" t="n"/>
    </row>
    <row r="619" ht="14.2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  <c r="AC619" s="1" t="n"/>
      <c r="AD619" s="1" t="n"/>
      <c r="AE619" s="1" t="n"/>
      <c r="AF619" s="1" t="n"/>
      <c r="AG619" s="1" t="n"/>
      <c r="AH619" s="1" t="n"/>
      <c r="AI619" s="1" t="n"/>
      <c r="AJ619" s="1" t="n"/>
      <c r="AK619" s="1" t="n"/>
      <c r="AL619" s="1" t="n"/>
    </row>
    <row r="620" ht="14.2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  <c r="AC620" s="1" t="n"/>
      <c r="AD620" s="1" t="n"/>
      <c r="AE620" s="1" t="n"/>
      <c r="AF620" s="1" t="n"/>
      <c r="AG620" s="1" t="n"/>
      <c r="AH620" s="1" t="n"/>
      <c r="AI620" s="1" t="n"/>
      <c r="AJ620" s="1" t="n"/>
      <c r="AK620" s="1" t="n"/>
      <c r="AL620" s="1" t="n"/>
    </row>
    <row r="621" ht="14.2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  <c r="AC621" s="1" t="n"/>
      <c r="AD621" s="1" t="n"/>
      <c r="AE621" s="1" t="n"/>
      <c r="AF621" s="1" t="n"/>
      <c r="AG621" s="1" t="n"/>
      <c r="AH621" s="1" t="n"/>
      <c r="AI621" s="1" t="n"/>
      <c r="AJ621" s="1" t="n"/>
      <c r="AK621" s="1" t="n"/>
      <c r="AL621" s="1" t="n"/>
    </row>
    <row r="622" ht="14.2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  <c r="AC622" s="1" t="n"/>
      <c r="AD622" s="1" t="n"/>
      <c r="AE622" s="1" t="n"/>
      <c r="AF622" s="1" t="n"/>
      <c r="AG622" s="1" t="n"/>
      <c r="AH622" s="1" t="n"/>
      <c r="AI622" s="1" t="n"/>
      <c r="AJ622" s="1" t="n"/>
      <c r="AK622" s="1" t="n"/>
      <c r="AL622" s="1" t="n"/>
    </row>
    <row r="623" ht="14.2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  <c r="AC623" s="1" t="n"/>
      <c r="AD623" s="1" t="n"/>
      <c r="AE623" s="1" t="n"/>
      <c r="AF623" s="1" t="n"/>
      <c r="AG623" s="1" t="n"/>
      <c r="AH623" s="1" t="n"/>
      <c r="AI623" s="1" t="n"/>
      <c r="AJ623" s="1" t="n"/>
      <c r="AK623" s="1" t="n"/>
      <c r="AL623" s="1" t="n"/>
    </row>
    <row r="624" ht="14.2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  <c r="AC624" s="1" t="n"/>
      <c r="AD624" s="1" t="n"/>
      <c r="AE624" s="1" t="n"/>
      <c r="AF624" s="1" t="n"/>
      <c r="AG624" s="1" t="n"/>
      <c r="AH624" s="1" t="n"/>
      <c r="AI624" s="1" t="n"/>
      <c r="AJ624" s="1" t="n"/>
      <c r="AK624" s="1" t="n"/>
      <c r="AL624" s="1" t="n"/>
    </row>
    <row r="625" ht="14.2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  <c r="AC625" s="1" t="n"/>
      <c r="AD625" s="1" t="n"/>
      <c r="AE625" s="1" t="n"/>
      <c r="AF625" s="1" t="n"/>
      <c r="AG625" s="1" t="n"/>
      <c r="AH625" s="1" t="n"/>
      <c r="AI625" s="1" t="n"/>
      <c r="AJ625" s="1" t="n"/>
      <c r="AK625" s="1" t="n"/>
      <c r="AL625" s="1" t="n"/>
    </row>
    <row r="626" ht="14.2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  <c r="AC626" s="1" t="n"/>
      <c r="AD626" s="1" t="n"/>
      <c r="AE626" s="1" t="n"/>
      <c r="AF626" s="1" t="n"/>
      <c r="AG626" s="1" t="n"/>
      <c r="AH626" s="1" t="n"/>
      <c r="AI626" s="1" t="n"/>
      <c r="AJ626" s="1" t="n"/>
      <c r="AK626" s="1" t="n"/>
      <c r="AL626" s="1" t="n"/>
    </row>
    <row r="627" ht="14.2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  <c r="AC627" s="1" t="n"/>
      <c r="AD627" s="1" t="n"/>
      <c r="AE627" s="1" t="n"/>
      <c r="AF627" s="1" t="n"/>
      <c r="AG627" s="1" t="n"/>
      <c r="AH627" s="1" t="n"/>
      <c r="AI627" s="1" t="n"/>
      <c r="AJ627" s="1" t="n"/>
      <c r="AK627" s="1" t="n"/>
      <c r="AL627" s="1" t="n"/>
    </row>
    <row r="628" ht="14.2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  <c r="AC628" s="1" t="n"/>
      <c r="AD628" s="1" t="n"/>
      <c r="AE628" s="1" t="n"/>
      <c r="AF628" s="1" t="n"/>
      <c r="AG628" s="1" t="n"/>
      <c r="AH628" s="1" t="n"/>
      <c r="AI628" s="1" t="n"/>
      <c r="AJ628" s="1" t="n"/>
      <c r="AK628" s="1" t="n"/>
      <c r="AL628" s="1" t="n"/>
    </row>
    <row r="629" ht="14.2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  <c r="AC629" s="1" t="n"/>
      <c r="AD629" s="1" t="n"/>
      <c r="AE629" s="1" t="n"/>
      <c r="AF629" s="1" t="n"/>
      <c r="AG629" s="1" t="n"/>
      <c r="AH629" s="1" t="n"/>
      <c r="AI629" s="1" t="n"/>
      <c r="AJ629" s="1" t="n"/>
      <c r="AK629" s="1" t="n"/>
      <c r="AL629" s="1" t="n"/>
    </row>
    <row r="630" ht="14.2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  <c r="AC630" s="1" t="n"/>
      <c r="AD630" s="1" t="n"/>
      <c r="AE630" s="1" t="n"/>
      <c r="AF630" s="1" t="n"/>
      <c r="AG630" s="1" t="n"/>
      <c r="AH630" s="1" t="n"/>
      <c r="AI630" s="1" t="n"/>
      <c r="AJ630" s="1" t="n"/>
      <c r="AK630" s="1" t="n"/>
      <c r="AL630" s="1" t="n"/>
    </row>
    <row r="631" ht="14.2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  <c r="AC631" s="1" t="n"/>
      <c r="AD631" s="1" t="n"/>
      <c r="AE631" s="1" t="n"/>
      <c r="AF631" s="1" t="n"/>
      <c r="AG631" s="1" t="n"/>
      <c r="AH631" s="1" t="n"/>
      <c r="AI631" s="1" t="n"/>
      <c r="AJ631" s="1" t="n"/>
      <c r="AK631" s="1" t="n"/>
      <c r="AL631" s="1" t="n"/>
    </row>
    <row r="632" ht="14.2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  <c r="AC632" s="1" t="n"/>
      <c r="AD632" s="1" t="n"/>
      <c r="AE632" s="1" t="n"/>
      <c r="AF632" s="1" t="n"/>
      <c r="AG632" s="1" t="n"/>
      <c r="AH632" s="1" t="n"/>
      <c r="AI632" s="1" t="n"/>
      <c r="AJ632" s="1" t="n"/>
      <c r="AK632" s="1" t="n"/>
      <c r="AL632" s="1" t="n"/>
    </row>
    <row r="633" ht="14.2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  <c r="AC633" s="1" t="n"/>
      <c r="AD633" s="1" t="n"/>
      <c r="AE633" s="1" t="n"/>
      <c r="AF633" s="1" t="n"/>
      <c r="AG633" s="1" t="n"/>
      <c r="AH633" s="1" t="n"/>
      <c r="AI633" s="1" t="n"/>
      <c r="AJ633" s="1" t="n"/>
      <c r="AK633" s="1" t="n"/>
      <c r="AL633" s="1" t="n"/>
    </row>
    <row r="634" ht="14.2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  <c r="AC634" s="1" t="n"/>
      <c r="AD634" s="1" t="n"/>
      <c r="AE634" s="1" t="n"/>
      <c r="AF634" s="1" t="n"/>
      <c r="AG634" s="1" t="n"/>
      <c r="AH634" s="1" t="n"/>
      <c r="AI634" s="1" t="n"/>
      <c r="AJ634" s="1" t="n"/>
      <c r="AK634" s="1" t="n"/>
      <c r="AL634" s="1" t="n"/>
    </row>
    <row r="635" ht="14.2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  <c r="AC635" s="1" t="n"/>
      <c r="AD635" s="1" t="n"/>
      <c r="AE635" s="1" t="n"/>
      <c r="AF635" s="1" t="n"/>
      <c r="AG635" s="1" t="n"/>
      <c r="AH635" s="1" t="n"/>
      <c r="AI635" s="1" t="n"/>
      <c r="AJ635" s="1" t="n"/>
      <c r="AK635" s="1" t="n"/>
      <c r="AL635" s="1" t="n"/>
    </row>
    <row r="636" ht="14.2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  <c r="AC636" s="1" t="n"/>
      <c r="AD636" s="1" t="n"/>
      <c r="AE636" s="1" t="n"/>
      <c r="AF636" s="1" t="n"/>
      <c r="AG636" s="1" t="n"/>
      <c r="AH636" s="1" t="n"/>
      <c r="AI636" s="1" t="n"/>
      <c r="AJ636" s="1" t="n"/>
      <c r="AK636" s="1" t="n"/>
      <c r="AL636" s="1" t="n"/>
    </row>
    <row r="637" ht="14.2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  <c r="AC637" s="1" t="n"/>
      <c r="AD637" s="1" t="n"/>
      <c r="AE637" s="1" t="n"/>
      <c r="AF637" s="1" t="n"/>
      <c r="AG637" s="1" t="n"/>
      <c r="AH637" s="1" t="n"/>
      <c r="AI637" s="1" t="n"/>
      <c r="AJ637" s="1" t="n"/>
      <c r="AK637" s="1" t="n"/>
      <c r="AL637" s="1" t="n"/>
    </row>
    <row r="638" ht="14.2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  <c r="AC638" s="1" t="n"/>
      <c r="AD638" s="1" t="n"/>
      <c r="AE638" s="1" t="n"/>
      <c r="AF638" s="1" t="n"/>
      <c r="AG638" s="1" t="n"/>
      <c r="AH638" s="1" t="n"/>
      <c r="AI638" s="1" t="n"/>
      <c r="AJ638" s="1" t="n"/>
      <c r="AK638" s="1" t="n"/>
      <c r="AL638" s="1" t="n"/>
    </row>
    <row r="639" ht="14.2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  <c r="AC639" s="1" t="n"/>
      <c r="AD639" s="1" t="n"/>
      <c r="AE639" s="1" t="n"/>
      <c r="AF639" s="1" t="n"/>
      <c r="AG639" s="1" t="n"/>
      <c r="AH639" s="1" t="n"/>
      <c r="AI639" s="1" t="n"/>
      <c r="AJ639" s="1" t="n"/>
      <c r="AK639" s="1" t="n"/>
      <c r="AL639" s="1" t="n"/>
    </row>
    <row r="640" ht="14.2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  <c r="AC640" s="1" t="n"/>
      <c r="AD640" s="1" t="n"/>
      <c r="AE640" s="1" t="n"/>
      <c r="AF640" s="1" t="n"/>
      <c r="AG640" s="1" t="n"/>
      <c r="AH640" s="1" t="n"/>
      <c r="AI640" s="1" t="n"/>
      <c r="AJ640" s="1" t="n"/>
      <c r="AK640" s="1" t="n"/>
      <c r="AL640" s="1" t="n"/>
    </row>
    <row r="641" ht="14.2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  <c r="AC641" s="1" t="n"/>
      <c r="AD641" s="1" t="n"/>
      <c r="AE641" s="1" t="n"/>
      <c r="AF641" s="1" t="n"/>
      <c r="AG641" s="1" t="n"/>
      <c r="AH641" s="1" t="n"/>
      <c r="AI641" s="1" t="n"/>
      <c r="AJ641" s="1" t="n"/>
      <c r="AK641" s="1" t="n"/>
      <c r="AL641" s="1" t="n"/>
    </row>
    <row r="642" ht="14.2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  <c r="AC642" s="1" t="n"/>
      <c r="AD642" s="1" t="n"/>
      <c r="AE642" s="1" t="n"/>
      <c r="AF642" s="1" t="n"/>
      <c r="AG642" s="1" t="n"/>
      <c r="AH642" s="1" t="n"/>
      <c r="AI642" s="1" t="n"/>
      <c r="AJ642" s="1" t="n"/>
      <c r="AK642" s="1" t="n"/>
      <c r="AL642" s="1" t="n"/>
    </row>
    <row r="643" ht="14.2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  <c r="AC643" s="1" t="n"/>
      <c r="AD643" s="1" t="n"/>
      <c r="AE643" s="1" t="n"/>
      <c r="AF643" s="1" t="n"/>
      <c r="AG643" s="1" t="n"/>
      <c r="AH643" s="1" t="n"/>
      <c r="AI643" s="1" t="n"/>
      <c r="AJ643" s="1" t="n"/>
      <c r="AK643" s="1" t="n"/>
      <c r="AL643" s="1" t="n"/>
    </row>
    <row r="644" ht="14.2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  <c r="AC644" s="1" t="n"/>
      <c r="AD644" s="1" t="n"/>
      <c r="AE644" s="1" t="n"/>
      <c r="AF644" s="1" t="n"/>
      <c r="AG644" s="1" t="n"/>
      <c r="AH644" s="1" t="n"/>
      <c r="AI644" s="1" t="n"/>
      <c r="AJ644" s="1" t="n"/>
      <c r="AK644" s="1" t="n"/>
      <c r="AL644" s="1" t="n"/>
    </row>
    <row r="645" ht="14.2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  <c r="AC645" s="1" t="n"/>
      <c r="AD645" s="1" t="n"/>
      <c r="AE645" s="1" t="n"/>
      <c r="AF645" s="1" t="n"/>
      <c r="AG645" s="1" t="n"/>
      <c r="AH645" s="1" t="n"/>
      <c r="AI645" s="1" t="n"/>
      <c r="AJ645" s="1" t="n"/>
      <c r="AK645" s="1" t="n"/>
      <c r="AL645" s="1" t="n"/>
    </row>
    <row r="646" ht="14.2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  <c r="AC646" s="1" t="n"/>
      <c r="AD646" s="1" t="n"/>
      <c r="AE646" s="1" t="n"/>
      <c r="AF646" s="1" t="n"/>
      <c r="AG646" s="1" t="n"/>
      <c r="AH646" s="1" t="n"/>
      <c r="AI646" s="1" t="n"/>
      <c r="AJ646" s="1" t="n"/>
      <c r="AK646" s="1" t="n"/>
      <c r="AL646" s="1" t="n"/>
    </row>
    <row r="647" ht="14.2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  <c r="AC647" s="1" t="n"/>
      <c r="AD647" s="1" t="n"/>
      <c r="AE647" s="1" t="n"/>
      <c r="AF647" s="1" t="n"/>
      <c r="AG647" s="1" t="n"/>
      <c r="AH647" s="1" t="n"/>
      <c r="AI647" s="1" t="n"/>
      <c r="AJ647" s="1" t="n"/>
      <c r="AK647" s="1" t="n"/>
      <c r="AL647" s="1" t="n"/>
    </row>
    <row r="648" ht="14.2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  <c r="AC648" s="1" t="n"/>
      <c r="AD648" s="1" t="n"/>
      <c r="AE648" s="1" t="n"/>
      <c r="AF648" s="1" t="n"/>
      <c r="AG648" s="1" t="n"/>
      <c r="AH648" s="1" t="n"/>
      <c r="AI648" s="1" t="n"/>
      <c r="AJ648" s="1" t="n"/>
      <c r="AK648" s="1" t="n"/>
      <c r="AL648" s="1" t="n"/>
    </row>
    <row r="649" ht="14.2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  <c r="AC649" s="1" t="n"/>
      <c r="AD649" s="1" t="n"/>
      <c r="AE649" s="1" t="n"/>
      <c r="AF649" s="1" t="n"/>
      <c r="AG649" s="1" t="n"/>
      <c r="AH649" s="1" t="n"/>
      <c r="AI649" s="1" t="n"/>
      <c r="AJ649" s="1" t="n"/>
      <c r="AK649" s="1" t="n"/>
      <c r="AL649" s="1" t="n"/>
    </row>
    <row r="650" ht="14.2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  <c r="AC650" s="1" t="n"/>
      <c r="AD650" s="1" t="n"/>
      <c r="AE650" s="1" t="n"/>
      <c r="AF650" s="1" t="n"/>
      <c r="AG650" s="1" t="n"/>
      <c r="AH650" s="1" t="n"/>
      <c r="AI650" s="1" t="n"/>
      <c r="AJ650" s="1" t="n"/>
      <c r="AK650" s="1" t="n"/>
      <c r="AL650" s="1" t="n"/>
    </row>
    <row r="651" ht="14.2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  <c r="AC651" s="1" t="n"/>
      <c r="AD651" s="1" t="n"/>
      <c r="AE651" s="1" t="n"/>
      <c r="AF651" s="1" t="n"/>
      <c r="AG651" s="1" t="n"/>
      <c r="AH651" s="1" t="n"/>
      <c r="AI651" s="1" t="n"/>
      <c r="AJ651" s="1" t="n"/>
      <c r="AK651" s="1" t="n"/>
      <c r="AL651" s="1" t="n"/>
    </row>
    <row r="652" ht="14.2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  <c r="AC652" s="1" t="n"/>
      <c r="AD652" s="1" t="n"/>
      <c r="AE652" s="1" t="n"/>
      <c r="AF652" s="1" t="n"/>
      <c r="AG652" s="1" t="n"/>
      <c r="AH652" s="1" t="n"/>
      <c r="AI652" s="1" t="n"/>
      <c r="AJ652" s="1" t="n"/>
      <c r="AK652" s="1" t="n"/>
      <c r="AL652" s="1" t="n"/>
    </row>
    <row r="653" ht="14.2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  <c r="AC653" s="1" t="n"/>
      <c r="AD653" s="1" t="n"/>
      <c r="AE653" s="1" t="n"/>
      <c r="AF653" s="1" t="n"/>
      <c r="AG653" s="1" t="n"/>
      <c r="AH653" s="1" t="n"/>
      <c r="AI653" s="1" t="n"/>
      <c r="AJ653" s="1" t="n"/>
      <c r="AK653" s="1" t="n"/>
      <c r="AL653" s="1" t="n"/>
    </row>
    <row r="654" ht="14.2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  <c r="AC654" s="1" t="n"/>
      <c r="AD654" s="1" t="n"/>
      <c r="AE654" s="1" t="n"/>
      <c r="AF654" s="1" t="n"/>
      <c r="AG654" s="1" t="n"/>
      <c r="AH654" s="1" t="n"/>
      <c r="AI654" s="1" t="n"/>
      <c r="AJ654" s="1" t="n"/>
      <c r="AK654" s="1" t="n"/>
      <c r="AL654" s="1" t="n"/>
    </row>
    <row r="655" ht="14.2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  <c r="AC655" s="1" t="n"/>
      <c r="AD655" s="1" t="n"/>
      <c r="AE655" s="1" t="n"/>
      <c r="AF655" s="1" t="n"/>
      <c r="AG655" s="1" t="n"/>
      <c r="AH655" s="1" t="n"/>
      <c r="AI655" s="1" t="n"/>
      <c r="AJ655" s="1" t="n"/>
      <c r="AK655" s="1" t="n"/>
      <c r="AL655" s="1" t="n"/>
    </row>
    <row r="656" ht="14.2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  <c r="AC656" s="1" t="n"/>
      <c r="AD656" s="1" t="n"/>
      <c r="AE656" s="1" t="n"/>
      <c r="AF656" s="1" t="n"/>
      <c r="AG656" s="1" t="n"/>
      <c r="AH656" s="1" t="n"/>
      <c r="AI656" s="1" t="n"/>
      <c r="AJ656" s="1" t="n"/>
      <c r="AK656" s="1" t="n"/>
      <c r="AL656" s="1" t="n"/>
    </row>
    <row r="657" ht="14.2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  <c r="AC657" s="1" t="n"/>
      <c r="AD657" s="1" t="n"/>
      <c r="AE657" s="1" t="n"/>
      <c r="AF657" s="1" t="n"/>
      <c r="AG657" s="1" t="n"/>
      <c r="AH657" s="1" t="n"/>
      <c r="AI657" s="1" t="n"/>
      <c r="AJ657" s="1" t="n"/>
      <c r="AK657" s="1" t="n"/>
      <c r="AL657" s="1" t="n"/>
    </row>
    <row r="658" ht="14.2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  <c r="AC658" s="1" t="n"/>
      <c r="AD658" s="1" t="n"/>
      <c r="AE658" s="1" t="n"/>
      <c r="AF658" s="1" t="n"/>
      <c r="AG658" s="1" t="n"/>
      <c r="AH658" s="1" t="n"/>
      <c r="AI658" s="1" t="n"/>
      <c r="AJ658" s="1" t="n"/>
      <c r="AK658" s="1" t="n"/>
      <c r="AL658" s="1" t="n"/>
    </row>
    <row r="659" ht="14.2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  <c r="AC659" s="1" t="n"/>
      <c r="AD659" s="1" t="n"/>
      <c r="AE659" s="1" t="n"/>
      <c r="AF659" s="1" t="n"/>
      <c r="AG659" s="1" t="n"/>
      <c r="AH659" s="1" t="n"/>
      <c r="AI659" s="1" t="n"/>
      <c r="AJ659" s="1" t="n"/>
      <c r="AK659" s="1" t="n"/>
      <c r="AL659" s="1" t="n"/>
    </row>
    <row r="660" ht="14.2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  <c r="AC660" s="1" t="n"/>
      <c r="AD660" s="1" t="n"/>
      <c r="AE660" s="1" t="n"/>
      <c r="AF660" s="1" t="n"/>
      <c r="AG660" s="1" t="n"/>
      <c r="AH660" s="1" t="n"/>
      <c r="AI660" s="1" t="n"/>
      <c r="AJ660" s="1" t="n"/>
      <c r="AK660" s="1" t="n"/>
      <c r="AL660" s="1" t="n"/>
    </row>
    <row r="661" ht="14.2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  <c r="AC661" s="1" t="n"/>
      <c r="AD661" s="1" t="n"/>
      <c r="AE661" s="1" t="n"/>
      <c r="AF661" s="1" t="n"/>
      <c r="AG661" s="1" t="n"/>
      <c r="AH661" s="1" t="n"/>
      <c r="AI661" s="1" t="n"/>
      <c r="AJ661" s="1" t="n"/>
      <c r="AK661" s="1" t="n"/>
      <c r="AL661" s="1" t="n"/>
    </row>
    <row r="662" ht="14.2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  <c r="AC662" s="1" t="n"/>
      <c r="AD662" s="1" t="n"/>
      <c r="AE662" s="1" t="n"/>
      <c r="AF662" s="1" t="n"/>
      <c r="AG662" s="1" t="n"/>
      <c r="AH662" s="1" t="n"/>
      <c r="AI662" s="1" t="n"/>
      <c r="AJ662" s="1" t="n"/>
      <c r="AK662" s="1" t="n"/>
      <c r="AL662" s="1" t="n"/>
    </row>
    <row r="663" ht="14.2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  <c r="AC663" s="1" t="n"/>
      <c r="AD663" s="1" t="n"/>
      <c r="AE663" s="1" t="n"/>
      <c r="AF663" s="1" t="n"/>
      <c r="AG663" s="1" t="n"/>
      <c r="AH663" s="1" t="n"/>
      <c r="AI663" s="1" t="n"/>
      <c r="AJ663" s="1" t="n"/>
      <c r="AK663" s="1" t="n"/>
      <c r="AL663" s="1" t="n"/>
    </row>
    <row r="664" ht="14.2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  <c r="AC664" s="1" t="n"/>
      <c r="AD664" s="1" t="n"/>
      <c r="AE664" s="1" t="n"/>
      <c r="AF664" s="1" t="n"/>
      <c r="AG664" s="1" t="n"/>
      <c r="AH664" s="1" t="n"/>
      <c r="AI664" s="1" t="n"/>
      <c r="AJ664" s="1" t="n"/>
      <c r="AK664" s="1" t="n"/>
      <c r="AL664" s="1" t="n"/>
    </row>
    <row r="665" ht="14.2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  <c r="AC665" s="1" t="n"/>
      <c r="AD665" s="1" t="n"/>
      <c r="AE665" s="1" t="n"/>
      <c r="AF665" s="1" t="n"/>
      <c r="AG665" s="1" t="n"/>
      <c r="AH665" s="1" t="n"/>
      <c r="AI665" s="1" t="n"/>
      <c r="AJ665" s="1" t="n"/>
      <c r="AK665" s="1" t="n"/>
      <c r="AL665" s="1" t="n"/>
    </row>
    <row r="666" ht="14.2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  <c r="AC666" s="1" t="n"/>
      <c r="AD666" s="1" t="n"/>
      <c r="AE666" s="1" t="n"/>
      <c r="AF666" s="1" t="n"/>
      <c r="AG666" s="1" t="n"/>
      <c r="AH666" s="1" t="n"/>
      <c r="AI666" s="1" t="n"/>
      <c r="AJ666" s="1" t="n"/>
      <c r="AK666" s="1" t="n"/>
      <c r="AL666" s="1" t="n"/>
    </row>
    <row r="667" ht="14.2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  <c r="AC667" s="1" t="n"/>
      <c r="AD667" s="1" t="n"/>
      <c r="AE667" s="1" t="n"/>
      <c r="AF667" s="1" t="n"/>
      <c r="AG667" s="1" t="n"/>
      <c r="AH667" s="1" t="n"/>
      <c r="AI667" s="1" t="n"/>
      <c r="AJ667" s="1" t="n"/>
      <c r="AK667" s="1" t="n"/>
      <c r="AL667" s="1" t="n"/>
    </row>
    <row r="668" ht="14.2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  <c r="AC668" s="1" t="n"/>
      <c r="AD668" s="1" t="n"/>
      <c r="AE668" s="1" t="n"/>
      <c r="AF668" s="1" t="n"/>
      <c r="AG668" s="1" t="n"/>
      <c r="AH668" s="1" t="n"/>
      <c r="AI668" s="1" t="n"/>
      <c r="AJ668" s="1" t="n"/>
      <c r="AK668" s="1" t="n"/>
      <c r="AL668" s="1" t="n"/>
    </row>
    <row r="669" ht="14.2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  <c r="AC669" s="1" t="n"/>
      <c r="AD669" s="1" t="n"/>
      <c r="AE669" s="1" t="n"/>
      <c r="AF669" s="1" t="n"/>
      <c r="AG669" s="1" t="n"/>
      <c r="AH669" s="1" t="n"/>
      <c r="AI669" s="1" t="n"/>
      <c r="AJ669" s="1" t="n"/>
      <c r="AK669" s="1" t="n"/>
      <c r="AL669" s="1" t="n"/>
    </row>
    <row r="670" ht="14.2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  <c r="AC670" s="1" t="n"/>
      <c r="AD670" s="1" t="n"/>
      <c r="AE670" s="1" t="n"/>
      <c r="AF670" s="1" t="n"/>
      <c r="AG670" s="1" t="n"/>
      <c r="AH670" s="1" t="n"/>
      <c r="AI670" s="1" t="n"/>
      <c r="AJ670" s="1" t="n"/>
      <c r="AK670" s="1" t="n"/>
      <c r="AL670" s="1" t="n"/>
    </row>
    <row r="671" ht="14.2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  <c r="AC671" s="1" t="n"/>
      <c r="AD671" s="1" t="n"/>
      <c r="AE671" s="1" t="n"/>
      <c r="AF671" s="1" t="n"/>
      <c r="AG671" s="1" t="n"/>
      <c r="AH671" s="1" t="n"/>
      <c r="AI671" s="1" t="n"/>
      <c r="AJ671" s="1" t="n"/>
      <c r="AK671" s="1" t="n"/>
      <c r="AL671" s="1" t="n"/>
    </row>
    <row r="672" ht="14.2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  <c r="AC672" s="1" t="n"/>
      <c r="AD672" s="1" t="n"/>
      <c r="AE672" s="1" t="n"/>
      <c r="AF672" s="1" t="n"/>
      <c r="AG672" s="1" t="n"/>
      <c r="AH672" s="1" t="n"/>
      <c r="AI672" s="1" t="n"/>
      <c r="AJ672" s="1" t="n"/>
      <c r="AK672" s="1" t="n"/>
      <c r="AL672" s="1" t="n"/>
    </row>
    <row r="673" ht="14.2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  <c r="AC673" s="1" t="n"/>
      <c r="AD673" s="1" t="n"/>
      <c r="AE673" s="1" t="n"/>
      <c r="AF673" s="1" t="n"/>
      <c r="AG673" s="1" t="n"/>
      <c r="AH673" s="1" t="n"/>
      <c r="AI673" s="1" t="n"/>
      <c r="AJ673" s="1" t="n"/>
      <c r="AK673" s="1" t="n"/>
      <c r="AL673" s="1" t="n"/>
    </row>
    <row r="674" ht="14.2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  <c r="AC674" s="1" t="n"/>
      <c r="AD674" s="1" t="n"/>
      <c r="AE674" s="1" t="n"/>
      <c r="AF674" s="1" t="n"/>
      <c r="AG674" s="1" t="n"/>
      <c r="AH674" s="1" t="n"/>
      <c r="AI674" s="1" t="n"/>
      <c r="AJ674" s="1" t="n"/>
      <c r="AK674" s="1" t="n"/>
      <c r="AL674" s="1" t="n"/>
    </row>
    <row r="675" ht="14.2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  <c r="AC675" s="1" t="n"/>
      <c r="AD675" s="1" t="n"/>
      <c r="AE675" s="1" t="n"/>
      <c r="AF675" s="1" t="n"/>
      <c r="AG675" s="1" t="n"/>
      <c r="AH675" s="1" t="n"/>
      <c r="AI675" s="1" t="n"/>
      <c r="AJ675" s="1" t="n"/>
      <c r="AK675" s="1" t="n"/>
      <c r="AL675" s="1" t="n"/>
    </row>
    <row r="676" ht="14.2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  <c r="AC676" s="1" t="n"/>
      <c r="AD676" s="1" t="n"/>
      <c r="AE676" s="1" t="n"/>
      <c r="AF676" s="1" t="n"/>
      <c r="AG676" s="1" t="n"/>
      <c r="AH676" s="1" t="n"/>
      <c r="AI676" s="1" t="n"/>
      <c r="AJ676" s="1" t="n"/>
      <c r="AK676" s="1" t="n"/>
      <c r="AL676" s="1" t="n"/>
    </row>
    <row r="677" ht="14.2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  <c r="AC677" s="1" t="n"/>
      <c r="AD677" s="1" t="n"/>
      <c r="AE677" s="1" t="n"/>
      <c r="AF677" s="1" t="n"/>
      <c r="AG677" s="1" t="n"/>
      <c r="AH677" s="1" t="n"/>
      <c r="AI677" s="1" t="n"/>
      <c r="AJ677" s="1" t="n"/>
      <c r="AK677" s="1" t="n"/>
      <c r="AL677" s="1" t="n"/>
    </row>
    <row r="678" ht="14.2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  <c r="AC678" s="1" t="n"/>
      <c r="AD678" s="1" t="n"/>
      <c r="AE678" s="1" t="n"/>
      <c r="AF678" s="1" t="n"/>
      <c r="AG678" s="1" t="n"/>
      <c r="AH678" s="1" t="n"/>
      <c r="AI678" s="1" t="n"/>
      <c r="AJ678" s="1" t="n"/>
      <c r="AK678" s="1" t="n"/>
      <c r="AL678" s="1" t="n"/>
    </row>
    <row r="679" ht="14.2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  <c r="AC679" s="1" t="n"/>
      <c r="AD679" s="1" t="n"/>
      <c r="AE679" s="1" t="n"/>
      <c r="AF679" s="1" t="n"/>
      <c r="AG679" s="1" t="n"/>
      <c r="AH679" s="1" t="n"/>
      <c r="AI679" s="1" t="n"/>
      <c r="AJ679" s="1" t="n"/>
      <c r="AK679" s="1" t="n"/>
      <c r="AL679" s="1" t="n"/>
    </row>
    <row r="680" ht="14.2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  <c r="AC680" s="1" t="n"/>
      <c r="AD680" s="1" t="n"/>
      <c r="AE680" s="1" t="n"/>
      <c r="AF680" s="1" t="n"/>
      <c r="AG680" s="1" t="n"/>
      <c r="AH680" s="1" t="n"/>
      <c r="AI680" s="1" t="n"/>
      <c r="AJ680" s="1" t="n"/>
      <c r="AK680" s="1" t="n"/>
      <c r="AL680" s="1" t="n"/>
    </row>
    <row r="681" ht="14.2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  <c r="AC681" s="1" t="n"/>
      <c r="AD681" s="1" t="n"/>
      <c r="AE681" s="1" t="n"/>
      <c r="AF681" s="1" t="n"/>
      <c r="AG681" s="1" t="n"/>
      <c r="AH681" s="1" t="n"/>
      <c r="AI681" s="1" t="n"/>
      <c r="AJ681" s="1" t="n"/>
      <c r="AK681" s="1" t="n"/>
      <c r="AL681" s="1" t="n"/>
    </row>
    <row r="682" ht="14.2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  <c r="AC682" s="1" t="n"/>
      <c r="AD682" s="1" t="n"/>
      <c r="AE682" s="1" t="n"/>
      <c r="AF682" s="1" t="n"/>
      <c r="AG682" s="1" t="n"/>
      <c r="AH682" s="1" t="n"/>
      <c r="AI682" s="1" t="n"/>
      <c r="AJ682" s="1" t="n"/>
      <c r="AK682" s="1" t="n"/>
      <c r="AL682" s="1" t="n"/>
    </row>
    <row r="683" ht="14.2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  <c r="AC683" s="1" t="n"/>
      <c r="AD683" s="1" t="n"/>
      <c r="AE683" s="1" t="n"/>
      <c r="AF683" s="1" t="n"/>
      <c r="AG683" s="1" t="n"/>
      <c r="AH683" s="1" t="n"/>
      <c r="AI683" s="1" t="n"/>
      <c r="AJ683" s="1" t="n"/>
      <c r="AK683" s="1" t="n"/>
      <c r="AL683" s="1" t="n"/>
    </row>
    <row r="684" ht="14.2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  <c r="AC684" s="1" t="n"/>
      <c r="AD684" s="1" t="n"/>
      <c r="AE684" s="1" t="n"/>
      <c r="AF684" s="1" t="n"/>
      <c r="AG684" s="1" t="n"/>
      <c r="AH684" s="1" t="n"/>
      <c r="AI684" s="1" t="n"/>
      <c r="AJ684" s="1" t="n"/>
      <c r="AK684" s="1" t="n"/>
      <c r="AL684" s="1" t="n"/>
    </row>
    <row r="685" ht="14.2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  <c r="AC685" s="1" t="n"/>
      <c r="AD685" s="1" t="n"/>
      <c r="AE685" s="1" t="n"/>
      <c r="AF685" s="1" t="n"/>
      <c r="AG685" s="1" t="n"/>
      <c r="AH685" s="1" t="n"/>
      <c r="AI685" s="1" t="n"/>
      <c r="AJ685" s="1" t="n"/>
      <c r="AK685" s="1" t="n"/>
      <c r="AL685" s="1" t="n"/>
    </row>
    <row r="686" ht="14.2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  <c r="AC686" s="1" t="n"/>
      <c r="AD686" s="1" t="n"/>
      <c r="AE686" s="1" t="n"/>
      <c r="AF686" s="1" t="n"/>
      <c r="AG686" s="1" t="n"/>
      <c r="AH686" s="1" t="n"/>
      <c r="AI686" s="1" t="n"/>
      <c r="AJ686" s="1" t="n"/>
      <c r="AK686" s="1" t="n"/>
      <c r="AL686" s="1" t="n"/>
    </row>
    <row r="687" ht="14.2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  <c r="AC687" s="1" t="n"/>
      <c r="AD687" s="1" t="n"/>
      <c r="AE687" s="1" t="n"/>
      <c r="AF687" s="1" t="n"/>
      <c r="AG687" s="1" t="n"/>
      <c r="AH687" s="1" t="n"/>
      <c r="AI687" s="1" t="n"/>
      <c r="AJ687" s="1" t="n"/>
      <c r="AK687" s="1" t="n"/>
      <c r="AL687" s="1" t="n"/>
    </row>
    <row r="688" ht="14.2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  <c r="AC688" s="1" t="n"/>
      <c r="AD688" s="1" t="n"/>
      <c r="AE688" s="1" t="n"/>
      <c r="AF688" s="1" t="n"/>
      <c r="AG688" s="1" t="n"/>
      <c r="AH688" s="1" t="n"/>
      <c r="AI688" s="1" t="n"/>
      <c r="AJ688" s="1" t="n"/>
      <c r="AK688" s="1" t="n"/>
      <c r="AL688" s="1" t="n"/>
    </row>
    <row r="689" ht="14.2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  <c r="AC689" s="1" t="n"/>
      <c r="AD689" s="1" t="n"/>
      <c r="AE689" s="1" t="n"/>
      <c r="AF689" s="1" t="n"/>
      <c r="AG689" s="1" t="n"/>
      <c r="AH689" s="1" t="n"/>
      <c r="AI689" s="1" t="n"/>
      <c r="AJ689" s="1" t="n"/>
      <c r="AK689" s="1" t="n"/>
      <c r="AL689" s="1" t="n"/>
    </row>
    <row r="690" ht="14.2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  <c r="AC690" s="1" t="n"/>
      <c r="AD690" s="1" t="n"/>
      <c r="AE690" s="1" t="n"/>
      <c r="AF690" s="1" t="n"/>
      <c r="AG690" s="1" t="n"/>
      <c r="AH690" s="1" t="n"/>
      <c r="AI690" s="1" t="n"/>
      <c r="AJ690" s="1" t="n"/>
      <c r="AK690" s="1" t="n"/>
      <c r="AL690" s="1" t="n"/>
    </row>
    <row r="691" ht="14.2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  <c r="AC691" s="1" t="n"/>
      <c r="AD691" s="1" t="n"/>
      <c r="AE691" s="1" t="n"/>
      <c r="AF691" s="1" t="n"/>
      <c r="AG691" s="1" t="n"/>
      <c r="AH691" s="1" t="n"/>
      <c r="AI691" s="1" t="n"/>
      <c r="AJ691" s="1" t="n"/>
      <c r="AK691" s="1" t="n"/>
      <c r="AL691" s="1" t="n"/>
    </row>
    <row r="692" ht="14.2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  <c r="AC692" s="1" t="n"/>
      <c r="AD692" s="1" t="n"/>
      <c r="AE692" s="1" t="n"/>
      <c r="AF692" s="1" t="n"/>
      <c r="AG692" s="1" t="n"/>
      <c r="AH692" s="1" t="n"/>
      <c r="AI692" s="1" t="n"/>
      <c r="AJ692" s="1" t="n"/>
      <c r="AK692" s="1" t="n"/>
      <c r="AL692" s="1" t="n"/>
    </row>
    <row r="693" ht="14.2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  <c r="AC693" s="1" t="n"/>
      <c r="AD693" s="1" t="n"/>
      <c r="AE693" s="1" t="n"/>
      <c r="AF693" s="1" t="n"/>
      <c r="AG693" s="1" t="n"/>
      <c r="AH693" s="1" t="n"/>
      <c r="AI693" s="1" t="n"/>
      <c r="AJ693" s="1" t="n"/>
      <c r="AK693" s="1" t="n"/>
      <c r="AL693" s="1" t="n"/>
    </row>
    <row r="694" ht="14.2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  <c r="AC694" s="1" t="n"/>
      <c r="AD694" s="1" t="n"/>
      <c r="AE694" s="1" t="n"/>
      <c r="AF694" s="1" t="n"/>
      <c r="AG694" s="1" t="n"/>
      <c r="AH694" s="1" t="n"/>
      <c r="AI694" s="1" t="n"/>
      <c r="AJ694" s="1" t="n"/>
      <c r="AK694" s="1" t="n"/>
      <c r="AL694" s="1" t="n"/>
    </row>
    <row r="695" ht="14.2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  <c r="AC695" s="1" t="n"/>
      <c r="AD695" s="1" t="n"/>
      <c r="AE695" s="1" t="n"/>
      <c r="AF695" s="1" t="n"/>
      <c r="AG695" s="1" t="n"/>
      <c r="AH695" s="1" t="n"/>
      <c r="AI695" s="1" t="n"/>
      <c r="AJ695" s="1" t="n"/>
      <c r="AK695" s="1" t="n"/>
      <c r="AL695" s="1" t="n"/>
    </row>
    <row r="696" ht="14.2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  <c r="AC696" s="1" t="n"/>
      <c r="AD696" s="1" t="n"/>
      <c r="AE696" s="1" t="n"/>
      <c r="AF696" s="1" t="n"/>
      <c r="AG696" s="1" t="n"/>
      <c r="AH696" s="1" t="n"/>
      <c r="AI696" s="1" t="n"/>
      <c r="AJ696" s="1" t="n"/>
      <c r="AK696" s="1" t="n"/>
      <c r="AL696" s="1" t="n"/>
    </row>
    <row r="697" ht="14.2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  <c r="AC697" s="1" t="n"/>
      <c r="AD697" s="1" t="n"/>
      <c r="AE697" s="1" t="n"/>
      <c r="AF697" s="1" t="n"/>
      <c r="AG697" s="1" t="n"/>
      <c r="AH697" s="1" t="n"/>
      <c r="AI697" s="1" t="n"/>
      <c r="AJ697" s="1" t="n"/>
      <c r="AK697" s="1" t="n"/>
      <c r="AL697" s="1" t="n"/>
    </row>
    <row r="698" ht="14.2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  <c r="AC698" s="1" t="n"/>
      <c r="AD698" s="1" t="n"/>
      <c r="AE698" s="1" t="n"/>
      <c r="AF698" s="1" t="n"/>
      <c r="AG698" s="1" t="n"/>
      <c r="AH698" s="1" t="n"/>
      <c r="AI698" s="1" t="n"/>
      <c r="AJ698" s="1" t="n"/>
      <c r="AK698" s="1" t="n"/>
      <c r="AL698" s="1" t="n"/>
    </row>
    <row r="699" ht="14.2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  <c r="AC699" s="1" t="n"/>
      <c r="AD699" s="1" t="n"/>
      <c r="AE699" s="1" t="n"/>
      <c r="AF699" s="1" t="n"/>
      <c r="AG699" s="1" t="n"/>
      <c r="AH699" s="1" t="n"/>
      <c r="AI699" s="1" t="n"/>
      <c r="AJ699" s="1" t="n"/>
      <c r="AK699" s="1" t="n"/>
      <c r="AL699" s="1" t="n"/>
    </row>
    <row r="700" ht="14.2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  <c r="AC700" s="1" t="n"/>
      <c r="AD700" s="1" t="n"/>
      <c r="AE700" s="1" t="n"/>
      <c r="AF700" s="1" t="n"/>
      <c r="AG700" s="1" t="n"/>
      <c r="AH700" s="1" t="n"/>
      <c r="AI700" s="1" t="n"/>
      <c r="AJ700" s="1" t="n"/>
      <c r="AK700" s="1" t="n"/>
      <c r="AL700" s="1" t="n"/>
    </row>
    <row r="701" ht="14.2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  <c r="AC701" s="1" t="n"/>
      <c r="AD701" s="1" t="n"/>
      <c r="AE701" s="1" t="n"/>
      <c r="AF701" s="1" t="n"/>
      <c r="AG701" s="1" t="n"/>
      <c r="AH701" s="1" t="n"/>
      <c r="AI701" s="1" t="n"/>
      <c r="AJ701" s="1" t="n"/>
      <c r="AK701" s="1" t="n"/>
      <c r="AL701" s="1" t="n"/>
    </row>
    <row r="702" ht="14.2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  <c r="AC702" s="1" t="n"/>
      <c r="AD702" s="1" t="n"/>
      <c r="AE702" s="1" t="n"/>
      <c r="AF702" s="1" t="n"/>
      <c r="AG702" s="1" t="n"/>
      <c r="AH702" s="1" t="n"/>
      <c r="AI702" s="1" t="n"/>
      <c r="AJ702" s="1" t="n"/>
      <c r="AK702" s="1" t="n"/>
      <c r="AL702" s="1" t="n"/>
    </row>
    <row r="703" ht="14.2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  <c r="AC703" s="1" t="n"/>
      <c r="AD703" s="1" t="n"/>
      <c r="AE703" s="1" t="n"/>
      <c r="AF703" s="1" t="n"/>
      <c r="AG703" s="1" t="n"/>
      <c r="AH703" s="1" t="n"/>
      <c r="AI703" s="1" t="n"/>
      <c r="AJ703" s="1" t="n"/>
      <c r="AK703" s="1" t="n"/>
      <c r="AL703" s="1" t="n"/>
    </row>
    <row r="704" ht="14.2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  <c r="AC704" s="1" t="n"/>
      <c r="AD704" s="1" t="n"/>
      <c r="AE704" s="1" t="n"/>
      <c r="AF704" s="1" t="n"/>
      <c r="AG704" s="1" t="n"/>
      <c r="AH704" s="1" t="n"/>
      <c r="AI704" s="1" t="n"/>
      <c r="AJ704" s="1" t="n"/>
      <c r="AK704" s="1" t="n"/>
      <c r="AL704" s="1" t="n"/>
    </row>
    <row r="705" ht="14.2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  <c r="AC705" s="1" t="n"/>
      <c r="AD705" s="1" t="n"/>
      <c r="AE705" s="1" t="n"/>
      <c r="AF705" s="1" t="n"/>
      <c r="AG705" s="1" t="n"/>
      <c r="AH705" s="1" t="n"/>
      <c r="AI705" s="1" t="n"/>
      <c r="AJ705" s="1" t="n"/>
      <c r="AK705" s="1" t="n"/>
      <c r="AL705" s="1" t="n"/>
    </row>
    <row r="706" ht="14.2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  <c r="AC706" s="1" t="n"/>
      <c r="AD706" s="1" t="n"/>
      <c r="AE706" s="1" t="n"/>
      <c r="AF706" s="1" t="n"/>
      <c r="AG706" s="1" t="n"/>
      <c r="AH706" s="1" t="n"/>
      <c r="AI706" s="1" t="n"/>
      <c r="AJ706" s="1" t="n"/>
      <c r="AK706" s="1" t="n"/>
      <c r="AL706" s="1" t="n"/>
    </row>
    <row r="707" ht="14.2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  <c r="AC707" s="1" t="n"/>
      <c r="AD707" s="1" t="n"/>
      <c r="AE707" s="1" t="n"/>
      <c r="AF707" s="1" t="n"/>
      <c r="AG707" s="1" t="n"/>
      <c r="AH707" s="1" t="n"/>
      <c r="AI707" s="1" t="n"/>
      <c r="AJ707" s="1" t="n"/>
      <c r="AK707" s="1" t="n"/>
      <c r="AL707" s="1" t="n"/>
    </row>
    <row r="708" ht="14.2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  <c r="AC708" s="1" t="n"/>
      <c r="AD708" s="1" t="n"/>
      <c r="AE708" s="1" t="n"/>
      <c r="AF708" s="1" t="n"/>
      <c r="AG708" s="1" t="n"/>
      <c r="AH708" s="1" t="n"/>
      <c r="AI708" s="1" t="n"/>
      <c r="AJ708" s="1" t="n"/>
      <c r="AK708" s="1" t="n"/>
      <c r="AL708" s="1" t="n"/>
    </row>
    <row r="709" ht="14.2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  <c r="AC709" s="1" t="n"/>
      <c r="AD709" s="1" t="n"/>
      <c r="AE709" s="1" t="n"/>
      <c r="AF709" s="1" t="n"/>
      <c r="AG709" s="1" t="n"/>
      <c r="AH709" s="1" t="n"/>
      <c r="AI709" s="1" t="n"/>
      <c r="AJ709" s="1" t="n"/>
      <c r="AK709" s="1" t="n"/>
      <c r="AL709" s="1" t="n"/>
    </row>
    <row r="710" ht="14.2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  <c r="AC710" s="1" t="n"/>
      <c r="AD710" s="1" t="n"/>
      <c r="AE710" s="1" t="n"/>
      <c r="AF710" s="1" t="n"/>
      <c r="AG710" s="1" t="n"/>
      <c r="AH710" s="1" t="n"/>
      <c r="AI710" s="1" t="n"/>
      <c r="AJ710" s="1" t="n"/>
      <c r="AK710" s="1" t="n"/>
      <c r="AL710" s="1" t="n"/>
    </row>
    <row r="711" ht="14.2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  <c r="AC711" s="1" t="n"/>
      <c r="AD711" s="1" t="n"/>
      <c r="AE711" s="1" t="n"/>
      <c r="AF711" s="1" t="n"/>
      <c r="AG711" s="1" t="n"/>
      <c r="AH711" s="1" t="n"/>
      <c r="AI711" s="1" t="n"/>
      <c r="AJ711" s="1" t="n"/>
      <c r="AK711" s="1" t="n"/>
      <c r="AL711" s="1" t="n"/>
    </row>
    <row r="712" ht="14.2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  <c r="AC712" s="1" t="n"/>
      <c r="AD712" s="1" t="n"/>
      <c r="AE712" s="1" t="n"/>
      <c r="AF712" s="1" t="n"/>
      <c r="AG712" s="1" t="n"/>
      <c r="AH712" s="1" t="n"/>
      <c r="AI712" s="1" t="n"/>
      <c r="AJ712" s="1" t="n"/>
      <c r="AK712" s="1" t="n"/>
      <c r="AL712" s="1" t="n"/>
    </row>
    <row r="713" ht="14.2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  <c r="AC713" s="1" t="n"/>
      <c r="AD713" s="1" t="n"/>
      <c r="AE713" s="1" t="n"/>
      <c r="AF713" s="1" t="n"/>
      <c r="AG713" s="1" t="n"/>
      <c r="AH713" s="1" t="n"/>
      <c r="AI713" s="1" t="n"/>
      <c r="AJ713" s="1" t="n"/>
      <c r="AK713" s="1" t="n"/>
      <c r="AL713" s="1" t="n"/>
    </row>
    <row r="714" ht="14.2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  <c r="AC714" s="1" t="n"/>
      <c r="AD714" s="1" t="n"/>
      <c r="AE714" s="1" t="n"/>
      <c r="AF714" s="1" t="n"/>
      <c r="AG714" s="1" t="n"/>
      <c r="AH714" s="1" t="n"/>
      <c r="AI714" s="1" t="n"/>
      <c r="AJ714" s="1" t="n"/>
      <c r="AK714" s="1" t="n"/>
      <c r="AL714" s="1" t="n"/>
    </row>
    <row r="715" ht="14.2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  <c r="AC715" s="1" t="n"/>
      <c r="AD715" s="1" t="n"/>
      <c r="AE715" s="1" t="n"/>
      <c r="AF715" s="1" t="n"/>
      <c r="AG715" s="1" t="n"/>
      <c r="AH715" s="1" t="n"/>
      <c r="AI715" s="1" t="n"/>
      <c r="AJ715" s="1" t="n"/>
      <c r="AK715" s="1" t="n"/>
      <c r="AL715" s="1" t="n"/>
    </row>
    <row r="716" ht="14.2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  <c r="AC716" s="1" t="n"/>
      <c r="AD716" s="1" t="n"/>
      <c r="AE716" s="1" t="n"/>
      <c r="AF716" s="1" t="n"/>
      <c r="AG716" s="1" t="n"/>
      <c r="AH716" s="1" t="n"/>
      <c r="AI716" s="1" t="n"/>
      <c r="AJ716" s="1" t="n"/>
      <c r="AK716" s="1" t="n"/>
      <c r="AL716" s="1" t="n"/>
    </row>
    <row r="717" ht="14.2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  <c r="AC717" s="1" t="n"/>
      <c r="AD717" s="1" t="n"/>
      <c r="AE717" s="1" t="n"/>
      <c r="AF717" s="1" t="n"/>
      <c r="AG717" s="1" t="n"/>
      <c r="AH717" s="1" t="n"/>
      <c r="AI717" s="1" t="n"/>
      <c r="AJ717" s="1" t="n"/>
      <c r="AK717" s="1" t="n"/>
      <c r="AL717" s="1" t="n"/>
    </row>
    <row r="718" ht="14.2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  <c r="AC718" s="1" t="n"/>
      <c r="AD718" s="1" t="n"/>
      <c r="AE718" s="1" t="n"/>
      <c r="AF718" s="1" t="n"/>
      <c r="AG718" s="1" t="n"/>
      <c r="AH718" s="1" t="n"/>
      <c r="AI718" s="1" t="n"/>
      <c r="AJ718" s="1" t="n"/>
      <c r="AK718" s="1" t="n"/>
      <c r="AL718" s="1" t="n"/>
    </row>
    <row r="719" ht="14.2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  <c r="AC719" s="1" t="n"/>
      <c r="AD719" s="1" t="n"/>
      <c r="AE719" s="1" t="n"/>
      <c r="AF719" s="1" t="n"/>
      <c r="AG719" s="1" t="n"/>
      <c r="AH719" s="1" t="n"/>
      <c r="AI719" s="1" t="n"/>
      <c r="AJ719" s="1" t="n"/>
      <c r="AK719" s="1" t="n"/>
      <c r="AL719" s="1" t="n"/>
    </row>
    <row r="720" ht="14.2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  <c r="AC720" s="1" t="n"/>
      <c r="AD720" s="1" t="n"/>
      <c r="AE720" s="1" t="n"/>
      <c r="AF720" s="1" t="n"/>
      <c r="AG720" s="1" t="n"/>
      <c r="AH720" s="1" t="n"/>
      <c r="AI720" s="1" t="n"/>
      <c r="AJ720" s="1" t="n"/>
      <c r="AK720" s="1" t="n"/>
      <c r="AL720" s="1" t="n"/>
    </row>
    <row r="721" ht="14.2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  <c r="AC721" s="1" t="n"/>
      <c r="AD721" s="1" t="n"/>
      <c r="AE721" s="1" t="n"/>
      <c r="AF721" s="1" t="n"/>
      <c r="AG721" s="1" t="n"/>
      <c r="AH721" s="1" t="n"/>
      <c r="AI721" s="1" t="n"/>
      <c r="AJ721" s="1" t="n"/>
      <c r="AK721" s="1" t="n"/>
      <c r="AL721" s="1" t="n"/>
    </row>
    <row r="722" ht="14.2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  <c r="AC722" s="1" t="n"/>
      <c r="AD722" s="1" t="n"/>
      <c r="AE722" s="1" t="n"/>
      <c r="AF722" s="1" t="n"/>
      <c r="AG722" s="1" t="n"/>
      <c r="AH722" s="1" t="n"/>
      <c r="AI722" s="1" t="n"/>
      <c r="AJ722" s="1" t="n"/>
      <c r="AK722" s="1" t="n"/>
      <c r="AL722" s="1" t="n"/>
    </row>
    <row r="723" ht="14.2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  <c r="AC723" s="1" t="n"/>
      <c r="AD723" s="1" t="n"/>
      <c r="AE723" s="1" t="n"/>
      <c r="AF723" s="1" t="n"/>
      <c r="AG723" s="1" t="n"/>
      <c r="AH723" s="1" t="n"/>
      <c r="AI723" s="1" t="n"/>
      <c r="AJ723" s="1" t="n"/>
      <c r="AK723" s="1" t="n"/>
      <c r="AL723" s="1" t="n"/>
    </row>
    <row r="724" ht="14.2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  <c r="AC724" s="1" t="n"/>
      <c r="AD724" s="1" t="n"/>
      <c r="AE724" s="1" t="n"/>
      <c r="AF724" s="1" t="n"/>
      <c r="AG724" s="1" t="n"/>
      <c r="AH724" s="1" t="n"/>
      <c r="AI724" s="1" t="n"/>
      <c r="AJ724" s="1" t="n"/>
      <c r="AK724" s="1" t="n"/>
      <c r="AL724" s="1" t="n"/>
    </row>
    <row r="725" ht="14.2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  <c r="AC725" s="1" t="n"/>
      <c r="AD725" s="1" t="n"/>
      <c r="AE725" s="1" t="n"/>
      <c r="AF725" s="1" t="n"/>
      <c r="AG725" s="1" t="n"/>
      <c r="AH725" s="1" t="n"/>
      <c r="AI725" s="1" t="n"/>
      <c r="AJ725" s="1" t="n"/>
      <c r="AK725" s="1" t="n"/>
      <c r="AL725" s="1" t="n"/>
    </row>
    <row r="726" ht="14.2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  <c r="AC726" s="1" t="n"/>
      <c r="AD726" s="1" t="n"/>
      <c r="AE726" s="1" t="n"/>
      <c r="AF726" s="1" t="n"/>
      <c r="AG726" s="1" t="n"/>
      <c r="AH726" s="1" t="n"/>
      <c r="AI726" s="1" t="n"/>
      <c r="AJ726" s="1" t="n"/>
      <c r="AK726" s="1" t="n"/>
      <c r="AL726" s="1" t="n"/>
    </row>
    <row r="727" ht="14.2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  <c r="AC727" s="1" t="n"/>
      <c r="AD727" s="1" t="n"/>
      <c r="AE727" s="1" t="n"/>
      <c r="AF727" s="1" t="n"/>
      <c r="AG727" s="1" t="n"/>
      <c r="AH727" s="1" t="n"/>
      <c r="AI727" s="1" t="n"/>
      <c r="AJ727" s="1" t="n"/>
      <c r="AK727" s="1" t="n"/>
      <c r="AL727" s="1" t="n"/>
    </row>
    <row r="728" ht="14.2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  <c r="AC728" s="1" t="n"/>
      <c r="AD728" s="1" t="n"/>
      <c r="AE728" s="1" t="n"/>
      <c r="AF728" s="1" t="n"/>
      <c r="AG728" s="1" t="n"/>
      <c r="AH728" s="1" t="n"/>
      <c r="AI728" s="1" t="n"/>
      <c r="AJ728" s="1" t="n"/>
      <c r="AK728" s="1" t="n"/>
      <c r="AL728" s="1" t="n"/>
    </row>
    <row r="729" ht="14.2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  <c r="AC729" s="1" t="n"/>
      <c r="AD729" s="1" t="n"/>
      <c r="AE729" s="1" t="n"/>
      <c r="AF729" s="1" t="n"/>
      <c r="AG729" s="1" t="n"/>
      <c r="AH729" s="1" t="n"/>
      <c r="AI729" s="1" t="n"/>
      <c r="AJ729" s="1" t="n"/>
      <c r="AK729" s="1" t="n"/>
      <c r="AL729" s="1" t="n"/>
    </row>
    <row r="730" ht="14.2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  <c r="AC730" s="1" t="n"/>
      <c r="AD730" s="1" t="n"/>
      <c r="AE730" s="1" t="n"/>
      <c r="AF730" s="1" t="n"/>
      <c r="AG730" s="1" t="n"/>
      <c r="AH730" s="1" t="n"/>
      <c r="AI730" s="1" t="n"/>
      <c r="AJ730" s="1" t="n"/>
      <c r="AK730" s="1" t="n"/>
      <c r="AL730" s="1" t="n"/>
    </row>
    <row r="731" ht="14.2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  <c r="AC731" s="1" t="n"/>
      <c r="AD731" s="1" t="n"/>
      <c r="AE731" s="1" t="n"/>
      <c r="AF731" s="1" t="n"/>
      <c r="AG731" s="1" t="n"/>
      <c r="AH731" s="1" t="n"/>
      <c r="AI731" s="1" t="n"/>
      <c r="AJ731" s="1" t="n"/>
      <c r="AK731" s="1" t="n"/>
      <c r="AL731" s="1" t="n"/>
    </row>
    <row r="732" ht="14.2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  <c r="AC732" s="1" t="n"/>
      <c r="AD732" s="1" t="n"/>
      <c r="AE732" s="1" t="n"/>
      <c r="AF732" s="1" t="n"/>
      <c r="AG732" s="1" t="n"/>
      <c r="AH732" s="1" t="n"/>
      <c r="AI732" s="1" t="n"/>
      <c r="AJ732" s="1" t="n"/>
      <c r="AK732" s="1" t="n"/>
      <c r="AL732" s="1" t="n"/>
    </row>
    <row r="733" ht="14.2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  <c r="AC733" s="1" t="n"/>
      <c r="AD733" s="1" t="n"/>
      <c r="AE733" s="1" t="n"/>
      <c r="AF733" s="1" t="n"/>
      <c r="AG733" s="1" t="n"/>
      <c r="AH733" s="1" t="n"/>
      <c r="AI733" s="1" t="n"/>
      <c r="AJ733" s="1" t="n"/>
      <c r="AK733" s="1" t="n"/>
      <c r="AL733" s="1" t="n"/>
    </row>
    <row r="734" ht="14.2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  <c r="AC734" s="1" t="n"/>
      <c r="AD734" s="1" t="n"/>
      <c r="AE734" s="1" t="n"/>
      <c r="AF734" s="1" t="n"/>
      <c r="AG734" s="1" t="n"/>
      <c r="AH734" s="1" t="n"/>
      <c r="AI734" s="1" t="n"/>
      <c r="AJ734" s="1" t="n"/>
      <c r="AK734" s="1" t="n"/>
      <c r="AL734" s="1" t="n"/>
    </row>
    <row r="735" ht="14.2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  <c r="AC735" s="1" t="n"/>
      <c r="AD735" s="1" t="n"/>
      <c r="AE735" s="1" t="n"/>
      <c r="AF735" s="1" t="n"/>
      <c r="AG735" s="1" t="n"/>
      <c r="AH735" s="1" t="n"/>
      <c r="AI735" s="1" t="n"/>
      <c r="AJ735" s="1" t="n"/>
      <c r="AK735" s="1" t="n"/>
      <c r="AL735" s="1" t="n"/>
    </row>
    <row r="736" ht="14.2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  <c r="AC736" s="1" t="n"/>
      <c r="AD736" s="1" t="n"/>
      <c r="AE736" s="1" t="n"/>
      <c r="AF736" s="1" t="n"/>
      <c r="AG736" s="1" t="n"/>
      <c r="AH736" s="1" t="n"/>
      <c r="AI736" s="1" t="n"/>
      <c r="AJ736" s="1" t="n"/>
      <c r="AK736" s="1" t="n"/>
      <c r="AL736" s="1" t="n"/>
    </row>
    <row r="737" ht="14.2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  <c r="AC737" s="1" t="n"/>
      <c r="AD737" s="1" t="n"/>
      <c r="AE737" s="1" t="n"/>
      <c r="AF737" s="1" t="n"/>
      <c r="AG737" s="1" t="n"/>
      <c r="AH737" s="1" t="n"/>
      <c r="AI737" s="1" t="n"/>
      <c r="AJ737" s="1" t="n"/>
      <c r="AK737" s="1" t="n"/>
      <c r="AL737" s="1" t="n"/>
    </row>
    <row r="738" ht="14.2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  <c r="AC738" s="1" t="n"/>
      <c r="AD738" s="1" t="n"/>
      <c r="AE738" s="1" t="n"/>
      <c r="AF738" s="1" t="n"/>
      <c r="AG738" s="1" t="n"/>
      <c r="AH738" s="1" t="n"/>
      <c r="AI738" s="1" t="n"/>
      <c r="AJ738" s="1" t="n"/>
      <c r="AK738" s="1" t="n"/>
      <c r="AL738" s="1" t="n"/>
    </row>
    <row r="739" ht="14.2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  <c r="AC739" s="1" t="n"/>
      <c r="AD739" s="1" t="n"/>
      <c r="AE739" s="1" t="n"/>
      <c r="AF739" s="1" t="n"/>
      <c r="AG739" s="1" t="n"/>
      <c r="AH739" s="1" t="n"/>
      <c r="AI739" s="1" t="n"/>
      <c r="AJ739" s="1" t="n"/>
      <c r="AK739" s="1" t="n"/>
      <c r="AL739" s="1" t="n"/>
    </row>
    <row r="740" ht="14.2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  <c r="AC740" s="1" t="n"/>
      <c r="AD740" s="1" t="n"/>
      <c r="AE740" s="1" t="n"/>
      <c r="AF740" s="1" t="n"/>
      <c r="AG740" s="1" t="n"/>
      <c r="AH740" s="1" t="n"/>
      <c r="AI740" s="1" t="n"/>
      <c r="AJ740" s="1" t="n"/>
      <c r="AK740" s="1" t="n"/>
      <c r="AL740" s="1" t="n"/>
    </row>
    <row r="741" ht="14.2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  <c r="AC741" s="1" t="n"/>
      <c r="AD741" s="1" t="n"/>
      <c r="AE741" s="1" t="n"/>
      <c r="AF741" s="1" t="n"/>
      <c r="AG741" s="1" t="n"/>
      <c r="AH741" s="1" t="n"/>
      <c r="AI741" s="1" t="n"/>
      <c r="AJ741" s="1" t="n"/>
      <c r="AK741" s="1" t="n"/>
      <c r="AL741" s="1" t="n"/>
    </row>
    <row r="742" ht="14.2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  <c r="AC742" s="1" t="n"/>
      <c r="AD742" s="1" t="n"/>
      <c r="AE742" s="1" t="n"/>
      <c r="AF742" s="1" t="n"/>
      <c r="AG742" s="1" t="n"/>
      <c r="AH742" s="1" t="n"/>
      <c r="AI742" s="1" t="n"/>
      <c r="AJ742" s="1" t="n"/>
      <c r="AK742" s="1" t="n"/>
      <c r="AL742" s="1" t="n"/>
    </row>
    <row r="743" ht="14.2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  <c r="AC743" s="1" t="n"/>
      <c r="AD743" s="1" t="n"/>
      <c r="AE743" s="1" t="n"/>
      <c r="AF743" s="1" t="n"/>
      <c r="AG743" s="1" t="n"/>
      <c r="AH743" s="1" t="n"/>
      <c r="AI743" s="1" t="n"/>
      <c r="AJ743" s="1" t="n"/>
      <c r="AK743" s="1" t="n"/>
      <c r="AL743" s="1" t="n"/>
    </row>
    <row r="744" ht="14.2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  <c r="AC744" s="1" t="n"/>
      <c r="AD744" s="1" t="n"/>
      <c r="AE744" s="1" t="n"/>
      <c r="AF744" s="1" t="n"/>
      <c r="AG744" s="1" t="n"/>
      <c r="AH744" s="1" t="n"/>
      <c r="AI744" s="1" t="n"/>
      <c r="AJ744" s="1" t="n"/>
      <c r="AK744" s="1" t="n"/>
      <c r="AL744" s="1" t="n"/>
    </row>
    <row r="745" ht="14.2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  <c r="AC745" s="1" t="n"/>
      <c r="AD745" s="1" t="n"/>
      <c r="AE745" s="1" t="n"/>
      <c r="AF745" s="1" t="n"/>
      <c r="AG745" s="1" t="n"/>
      <c r="AH745" s="1" t="n"/>
      <c r="AI745" s="1" t="n"/>
      <c r="AJ745" s="1" t="n"/>
      <c r="AK745" s="1" t="n"/>
      <c r="AL745" s="1" t="n"/>
    </row>
    <row r="746" ht="14.2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  <c r="AC746" s="1" t="n"/>
      <c r="AD746" s="1" t="n"/>
      <c r="AE746" s="1" t="n"/>
      <c r="AF746" s="1" t="n"/>
      <c r="AG746" s="1" t="n"/>
      <c r="AH746" s="1" t="n"/>
      <c r="AI746" s="1" t="n"/>
      <c r="AJ746" s="1" t="n"/>
      <c r="AK746" s="1" t="n"/>
      <c r="AL746" s="1" t="n"/>
    </row>
    <row r="747" ht="14.2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  <c r="AC747" s="1" t="n"/>
      <c r="AD747" s="1" t="n"/>
      <c r="AE747" s="1" t="n"/>
      <c r="AF747" s="1" t="n"/>
      <c r="AG747" s="1" t="n"/>
      <c r="AH747" s="1" t="n"/>
      <c r="AI747" s="1" t="n"/>
      <c r="AJ747" s="1" t="n"/>
      <c r="AK747" s="1" t="n"/>
      <c r="AL747" s="1" t="n"/>
    </row>
    <row r="748" ht="14.2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  <c r="AC748" s="1" t="n"/>
      <c r="AD748" s="1" t="n"/>
      <c r="AE748" s="1" t="n"/>
      <c r="AF748" s="1" t="n"/>
      <c r="AG748" s="1" t="n"/>
      <c r="AH748" s="1" t="n"/>
      <c r="AI748" s="1" t="n"/>
      <c r="AJ748" s="1" t="n"/>
      <c r="AK748" s="1" t="n"/>
      <c r="AL748" s="1" t="n"/>
    </row>
    <row r="749" ht="14.2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  <c r="AC749" s="1" t="n"/>
      <c r="AD749" s="1" t="n"/>
      <c r="AE749" s="1" t="n"/>
      <c r="AF749" s="1" t="n"/>
      <c r="AG749" s="1" t="n"/>
      <c r="AH749" s="1" t="n"/>
      <c r="AI749" s="1" t="n"/>
      <c r="AJ749" s="1" t="n"/>
      <c r="AK749" s="1" t="n"/>
      <c r="AL749" s="1" t="n"/>
    </row>
    <row r="750" ht="14.2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  <c r="AC750" s="1" t="n"/>
      <c r="AD750" s="1" t="n"/>
      <c r="AE750" s="1" t="n"/>
      <c r="AF750" s="1" t="n"/>
      <c r="AG750" s="1" t="n"/>
      <c r="AH750" s="1" t="n"/>
      <c r="AI750" s="1" t="n"/>
      <c r="AJ750" s="1" t="n"/>
      <c r="AK750" s="1" t="n"/>
      <c r="AL750" s="1" t="n"/>
    </row>
    <row r="751" ht="14.2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  <c r="AC751" s="1" t="n"/>
      <c r="AD751" s="1" t="n"/>
      <c r="AE751" s="1" t="n"/>
      <c r="AF751" s="1" t="n"/>
      <c r="AG751" s="1" t="n"/>
      <c r="AH751" s="1" t="n"/>
      <c r="AI751" s="1" t="n"/>
      <c r="AJ751" s="1" t="n"/>
      <c r="AK751" s="1" t="n"/>
      <c r="AL751" s="1" t="n"/>
    </row>
    <row r="752" ht="14.2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  <c r="AC752" s="1" t="n"/>
      <c r="AD752" s="1" t="n"/>
      <c r="AE752" s="1" t="n"/>
      <c r="AF752" s="1" t="n"/>
      <c r="AG752" s="1" t="n"/>
      <c r="AH752" s="1" t="n"/>
      <c r="AI752" s="1" t="n"/>
      <c r="AJ752" s="1" t="n"/>
      <c r="AK752" s="1" t="n"/>
      <c r="AL752" s="1" t="n"/>
    </row>
    <row r="753" ht="14.2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  <c r="AC753" s="1" t="n"/>
      <c r="AD753" s="1" t="n"/>
      <c r="AE753" s="1" t="n"/>
      <c r="AF753" s="1" t="n"/>
      <c r="AG753" s="1" t="n"/>
      <c r="AH753" s="1" t="n"/>
      <c r="AI753" s="1" t="n"/>
      <c r="AJ753" s="1" t="n"/>
      <c r="AK753" s="1" t="n"/>
      <c r="AL753" s="1" t="n"/>
    </row>
    <row r="754" ht="14.2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  <c r="AC754" s="1" t="n"/>
      <c r="AD754" s="1" t="n"/>
      <c r="AE754" s="1" t="n"/>
      <c r="AF754" s="1" t="n"/>
      <c r="AG754" s="1" t="n"/>
      <c r="AH754" s="1" t="n"/>
      <c r="AI754" s="1" t="n"/>
      <c r="AJ754" s="1" t="n"/>
      <c r="AK754" s="1" t="n"/>
      <c r="AL754" s="1" t="n"/>
    </row>
    <row r="755" ht="14.2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  <c r="AC755" s="1" t="n"/>
      <c r="AD755" s="1" t="n"/>
      <c r="AE755" s="1" t="n"/>
      <c r="AF755" s="1" t="n"/>
      <c r="AG755" s="1" t="n"/>
      <c r="AH755" s="1" t="n"/>
      <c r="AI755" s="1" t="n"/>
      <c r="AJ755" s="1" t="n"/>
      <c r="AK755" s="1" t="n"/>
      <c r="AL755" s="1" t="n"/>
    </row>
    <row r="756" ht="14.2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  <c r="AC756" s="1" t="n"/>
      <c r="AD756" s="1" t="n"/>
      <c r="AE756" s="1" t="n"/>
      <c r="AF756" s="1" t="n"/>
      <c r="AG756" s="1" t="n"/>
      <c r="AH756" s="1" t="n"/>
      <c r="AI756" s="1" t="n"/>
      <c r="AJ756" s="1" t="n"/>
      <c r="AK756" s="1" t="n"/>
      <c r="AL756" s="1" t="n"/>
    </row>
    <row r="757" ht="14.2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  <c r="AC757" s="1" t="n"/>
      <c r="AD757" s="1" t="n"/>
      <c r="AE757" s="1" t="n"/>
      <c r="AF757" s="1" t="n"/>
      <c r="AG757" s="1" t="n"/>
      <c r="AH757" s="1" t="n"/>
      <c r="AI757" s="1" t="n"/>
      <c r="AJ757" s="1" t="n"/>
      <c r="AK757" s="1" t="n"/>
      <c r="AL757" s="1" t="n"/>
    </row>
    <row r="758" ht="14.2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  <c r="AC758" s="1" t="n"/>
      <c r="AD758" s="1" t="n"/>
      <c r="AE758" s="1" t="n"/>
      <c r="AF758" s="1" t="n"/>
      <c r="AG758" s="1" t="n"/>
      <c r="AH758" s="1" t="n"/>
      <c r="AI758" s="1" t="n"/>
      <c r="AJ758" s="1" t="n"/>
      <c r="AK758" s="1" t="n"/>
      <c r="AL758" s="1" t="n"/>
    </row>
    <row r="759" ht="14.2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  <c r="AC759" s="1" t="n"/>
      <c r="AD759" s="1" t="n"/>
      <c r="AE759" s="1" t="n"/>
      <c r="AF759" s="1" t="n"/>
      <c r="AG759" s="1" t="n"/>
      <c r="AH759" s="1" t="n"/>
      <c r="AI759" s="1" t="n"/>
      <c r="AJ759" s="1" t="n"/>
      <c r="AK759" s="1" t="n"/>
      <c r="AL759" s="1" t="n"/>
    </row>
    <row r="760" ht="14.2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  <c r="AC760" s="1" t="n"/>
      <c r="AD760" s="1" t="n"/>
      <c r="AE760" s="1" t="n"/>
      <c r="AF760" s="1" t="n"/>
      <c r="AG760" s="1" t="n"/>
      <c r="AH760" s="1" t="n"/>
      <c r="AI760" s="1" t="n"/>
      <c r="AJ760" s="1" t="n"/>
      <c r="AK760" s="1" t="n"/>
      <c r="AL760" s="1" t="n"/>
    </row>
    <row r="761" ht="14.2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  <c r="AC761" s="1" t="n"/>
      <c r="AD761" s="1" t="n"/>
      <c r="AE761" s="1" t="n"/>
      <c r="AF761" s="1" t="n"/>
      <c r="AG761" s="1" t="n"/>
      <c r="AH761" s="1" t="n"/>
      <c r="AI761" s="1" t="n"/>
      <c r="AJ761" s="1" t="n"/>
      <c r="AK761" s="1" t="n"/>
      <c r="AL761" s="1" t="n"/>
    </row>
    <row r="762" ht="14.2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  <c r="AC762" s="1" t="n"/>
      <c r="AD762" s="1" t="n"/>
      <c r="AE762" s="1" t="n"/>
      <c r="AF762" s="1" t="n"/>
      <c r="AG762" s="1" t="n"/>
      <c r="AH762" s="1" t="n"/>
      <c r="AI762" s="1" t="n"/>
      <c r="AJ762" s="1" t="n"/>
      <c r="AK762" s="1" t="n"/>
      <c r="AL762" s="1" t="n"/>
    </row>
    <row r="763" ht="14.2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  <c r="AC763" s="1" t="n"/>
      <c r="AD763" s="1" t="n"/>
      <c r="AE763" s="1" t="n"/>
      <c r="AF763" s="1" t="n"/>
      <c r="AG763" s="1" t="n"/>
      <c r="AH763" s="1" t="n"/>
      <c r="AI763" s="1" t="n"/>
      <c r="AJ763" s="1" t="n"/>
      <c r="AK763" s="1" t="n"/>
      <c r="AL763" s="1" t="n"/>
    </row>
    <row r="764" ht="14.2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  <c r="AC764" s="1" t="n"/>
      <c r="AD764" s="1" t="n"/>
      <c r="AE764" s="1" t="n"/>
      <c r="AF764" s="1" t="n"/>
      <c r="AG764" s="1" t="n"/>
      <c r="AH764" s="1" t="n"/>
      <c r="AI764" s="1" t="n"/>
      <c r="AJ764" s="1" t="n"/>
      <c r="AK764" s="1" t="n"/>
      <c r="AL764" s="1" t="n"/>
    </row>
    <row r="765" ht="14.2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  <c r="AC765" s="1" t="n"/>
      <c r="AD765" s="1" t="n"/>
      <c r="AE765" s="1" t="n"/>
      <c r="AF765" s="1" t="n"/>
      <c r="AG765" s="1" t="n"/>
      <c r="AH765" s="1" t="n"/>
      <c r="AI765" s="1" t="n"/>
      <c r="AJ765" s="1" t="n"/>
      <c r="AK765" s="1" t="n"/>
      <c r="AL765" s="1" t="n"/>
    </row>
    <row r="766" ht="14.2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  <c r="AC766" s="1" t="n"/>
      <c r="AD766" s="1" t="n"/>
      <c r="AE766" s="1" t="n"/>
      <c r="AF766" s="1" t="n"/>
      <c r="AG766" s="1" t="n"/>
      <c r="AH766" s="1" t="n"/>
      <c r="AI766" s="1" t="n"/>
      <c r="AJ766" s="1" t="n"/>
      <c r="AK766" s="1" t="n"/>
      <c r="AL766" s="1" t="n"/>
    </row>
    <row r="767" ht="14.2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  <c r="AC767" s="1" t="n"/>
      <c r="AD767" s="1" t="n"/>
      <c r="AE767" s="1" t="n"/>
      <c r="AF767" s="1" t="n"/>
      <c r="AG767" s="1" t="n"/>
      <c r="AH767" s="1" t="n"/>
      <c r="AI767" s="1" t="n"/>
      <c r="AJ767" s="1" t="n"/>
      <c r="AK767" s="1" t="n"/>
      <c r="AL767" s="1" t="n"/>
    </row>
    <row r="768" ht="14.2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  <c r="AC768" s="1" t="n"/>
      <c r="AD768" s="1" t="n"/>
      <c r="AE768" s="1" t="n"/>
      <c r="AF768" s="1" t="n"/>
      <c r="AG768" s="1" t="n"/>
      <c r="AH768" s="1" t="n"/>
      <c r="AI768" s="1" t="n"/>
      <c r="AJ768" s="1" t="n"/>
      <c r="AK768" s="1" t="n"/>
      <c r="AL768" s="1" t="n"/>
    </row>
    <row r="769" ht="14.2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  <c r="AC769" s="1" t="n"/>
      <c r="AD769" s="1" t="n"/>
      <c r="AE769" s="1" t="n"/>
      <c r="AF769" s="1" t="n"/>
      <c r="AG769" s="1" t="n"/>
      <c r="AH769" s="1" t="n"/>
      <c r="AI769" s="1" t="n"/>
      <c r="AJ769" s="1" t="n"/>
      <c r="AK769" s="1" t="n"/>
      <c r="AL769" s="1" t="n"/>
    </row>
    <row r="770" ht="14.2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  <c r="AC770" s="1" t="n"/>
      <c r="AD770" s="1" t="n"/>
      <c r="AE770" s="1" t="n"/>
      <c r="AF770" s="1" t="n"/>
      <c r="AG770" s="1" t="n"/>
      <c r="AH770" s="1" t="n"/>
      <c r="AI770" s="1" t="n"/>
      <c r="AJ770" s="1" t="n"/>
      <c r="AK770" s="1" t="n"/>
      <c r="AL770" s="1" t="n"/>
    </row>
    <row r="771" ht="14.2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  <c r="AC771" s="1" t="n"/>
      <c r="AD771" s="1" t="n"/>
      <c r="AE771" s="1" t="n"/>
      <c r="AF771" s="1" t="n"/>
      <c r="AG771" s="1" t="n"/>
      <c r="AH771" s="1" t="n"/>
      <c r="AI771" s="1" t="n"/>
      <c r="AJ771" s="1" t="n"/>
      <c r="AK771" s="1" t="n"/>
      <c r="AL771" s="1" t="n"/>
    </row>
    <row r="772" ht="14.2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  <c r="AC772" s="1" t="n"/>
      <c r="AD772" s="1" t="n"/>
      <c r="AE772" s="1" t="n"/>
      <c r="AF772" s="1" t="n"/>
      <c r="AG772" s="1" t="n"/>
      <c r="AH772" s="1" t="n"/>
      <c r="AI772" s="1" t="n"/>
      <c r="AJ772" s="1" t="n"/>
      <c r="AK772" s="1" t="n"/>
      <c r="AL772" s="1" t="n"/>
    </row>
    <row r="773" ht="14.2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  <c r="AC773" s="1" t="n"/>
      <c r="AD773" s="1" t="n"/>
      <c r="AE773" s="1" t="n"/>
      <c r="AF773" s="1" t="n"/>
      <c r="AG773" s="1" t="n"/>
      <c r="AH773" s="1" t="n"/>
      <c r="AI773" s="1" t="n"/>
      <c r="AJ773" s="1" t="n"/>
      <c r="AK773" s="1" t="n"/>
      <c r="AL773" s="1" t="n"/>
    </row>
    <row r="774" ht="14.2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  <c r="AC774" s="1" t="n"/>
      <c r="AD774" s="1" t="n"/>
      <c r="AE774" s="1" t="n"/>
      <c r="AF774" s="1" t="n"/>
      <c r="AG774" s="1" t="n"/>
      <c r="AH774" s="1" t="n"/>
      <c r="AI774" s="1" t="n"/>
      <c r="AJ774" s="1" t="n"/>
      <c r="AK774" s="1" t="n"/>
      <c r="AL774" s="1" t="n"/>
    </row>
    <row r="775" ht="14.2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  <c r="AC775" s="1" t="n"/>
      <c r="AD775" s="1" t="n"/>
      <c r="AE775" s="1" t="n"/>
      <c r="AF775" s="1" t="n"/>
      <c r="AG775" s="1" t="n"/>
      <c r="AH775" s="1" t="n"/>
      <c r="AI775" s="1" t="n"/>
      <c r="AJ775" s="1" t="n"/>
      <c r="AK775" s="1" t="n"/>
      <c r="AL775" s="1" t="n"/>
    </row>
    <row r="776" ht="14.2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  <c r="AC776" s="1" t="n"/>
      <c r="AD776" s="1" t="n"/>
      <c r="AE776" s="1" t="n"/>
      <c r="AF776" s="1" t="n"/>
      <c r="AG776" s="1" t="n"/>
      <c r="AH776" s="1" t="n"/>
      <c r="AI776" s="1" t="n"/>
      <c r="AJ776" s="1" t="n"/>
      <c r="AK776" s="1" t="n"/>
      <c r="AL776" s="1" t="n"/>
    </row>
    <row r="777" ht="14.2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  <c r="AC777" s="1" t="n"/>
      <c r="AD777" s="1" t="n"/>
      <c r="AE777" s="1" t="n"/>
      <c r="AF777" s="1" t="n"/>
      <c r="AG777" s="1" t="n"/>
      <c r="AH777" s="1" t="n"/>
      <c r="AI777" s="1" t="n"/>
      <c r="AJ777" s="1" t="n"/>
      <c r="AK777" s="1" t="n"/>
      <c r="AL777" s="1" t="n"/>
    </row>
    <row r="778" ht="14.2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  <c r="AC778" s="1" t="n"/>
      <c r="AD778" s="1" t="n"/>
      <c r="AE778" s="1" t="n"/>
      <c r="AF778" s="1" t="n"/>
      <c r="AG778" s="1" t="n"/>
      <c r="AH778" s="1" t="n"/>
      <c r="AI778" s="1" t="n"/>
      <c r="AJ778" s="1" t="n"/>
      <c r="AK778" s="1" t="n"/>
      <c r="AL778" s="1" t="n"/>
    </row>
    <row r="779" ht="14.2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  <c r="AC779" s="1" t="n"/>
      <c r="AD779" s="1" t="n"/>
      <c r="AE779" s="1" t="n"/>
      <c r="AF779" s="1" t="n"/>
      <c r="AG779" s="1" t="n"/>
      <c r="AH779" s="1" t="n"/>
      <c r="AI779" s="1" t="n"/>
      <c r="AJ779" s="1" t="n"/>
      <c r="AK779" s="1" t="n"/>
      <c r="AL779" s="1" t="n"/>
    </row>
    <row r="780" ht="14.2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  <c r="AC780" s="1" t="n"/>
      <c r="AD780" s="1" t="n"/>
      <c r="AE780" s="1" t="n"/>
      <c r="AF780" s="1" t="n"/>
      <c r="AG780" s="1" t="n"/>
      <c r="AH780" s="1" t="n"/>
      <c r="AI780" s="1" t="n"/>
      <c r="AJ780" s="1" t="n"/>
      <c r="AK780" s="1" t="n"/>
      <c r="AL780" s="1" t="n"/>
    </row>
    <row r="781" ht="14.2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  <c r="AC781" s="1" t="n"/>
      <c r="AD781" s="1" t="n"/>
      <c r="AE781" s="1" t="n"/>
      <c r="AF781" s="1" t="n"/>
      <c r="AG781" s="1" t="n"/>
      <c r="AH781" s="1" t="n"/>
      <c r="AI781" s="1" t="n"/>
      <c r="AJ781" s="1" t="n"/>
      <c r="AK781" s="1" t="n"/>
      <c r="AL781" s="1" t="n"/>
    </row>
    <row r="782" ht="14.2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  <c r="AC782" s="1" t="n"/>
      <c r="AD782" s="1" t="n"/>
      <c r="AE782" s="1" t="n"/>
      <c r="AF782" s="1" t="n"/>
      <c r="AG782" s="1" t="n"/>
      <c r="AH782" s="1" t="n"/>
      <c r="AI782" s="1" t="n"/>
      <c r="AJ782" s="1" t="n"/>
      <c r="AK782" s="1" t="n"/>
      <c r="AL782" s="1" t="n"/>
    </row>
    <row r="783" ht="14.2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  <c r="AC783" s="1" t="n"/>
      <c r="AD783" s="1" t="n"/>
      <c r="AE783" s="1" t="n"/>
      <c r="AF783" s="1" t="n"/>
      <c r="AG783" s="1" t="n"/>
      <c r="AH783" s="1" t="n"/>
      <c r="AI783" s="1" t="n"/>
      <c r="AJ783" s="1" t="n"/>
      <c r="AK783" s="1" t="n"/>
      <c r="AL783" s="1" t="n"/>
    </row>
    <row r="784" ht="14.2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  <c r="AC784" s="1" t="n"/>
      <c r="AD784" s="1" t="n"/>
      <c r="AE784" s="1" t="n"/>
      <c r="AF784" s="1" t="n"/>
      <c r="AG784" s="1" t="n"/>
      <c r="AH784" s="1" t="n"/>
      <c r="AI784" s="1" t="n"/>
      <c r="AJ784" s="1" t="n"/>
      <c r="AK784" s="1" t="n"/>
      <c r="AL784" s="1" t="n"/>
    </row>
    <row r="785" ht="14.2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  <c r="AC785" s="1" t="n"/>
      <c r="AD785" s="1" t="n"/>
      <c r="AE785" s="1" t="n"/>
      <c r="AF785" s="1" t="n"/>
      <c r="AG785" s="1" t="n"/>
      <c r="AH785" s="1" t="n"/>
      <c r="AI785" s="1" t="n"/>
      <c r="AJ785" s="1" t="n"/>
      <c r="AK785" s="1" t="n"/>
      <c r="AL785" s="1" t="n"/>
    </row>
    <row r="786" ht="14.2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  <c r="AC786" s="1" t="n"/>
      <c r="AD786" s="1" t="n"/>
      <c r="AE786" s="1" t="n"/>
      <c r="AF786" s="1" t="n"/>
      <c r="AG786" s="1" t="n"/>
      <c r="AH786" s="1" t="n"/>
      <c r="AI786" s="1" t="n"/>
      <c r="AJ786" s="1" t="n"/>
      <c r="AK786" s="1" t="n"/>
      <c r="AL786" s="1" t="n"/>
    </row>
    <row r="787" ht="14.2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  <c r="AC787" s="1" t="n"/>
      <c r="AD787" s="1" t="n"/>
      <c r="AE787" s="1" t="n"/>
      <c r="AF787" s="1" t="n"/>
      <c r="AG787" s="1" t="n"/>
      <c r="AH787" s="1" t="n"/>
      <c r="AI787" s="1" t="n"/>
      <c r="AJ787" s="1" t="n"/>
      <c r="AK787" s="1" t="n"/>
      <c r="AL787" s="1" t="n"/>
    </row>
    <row r="788" ht="14.2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  <c r="AC788" s="1" t="n"/>
      <c r="AD788" s="1" t="n"/>
      <c r="AE788" s="1" t="n"/>
      <c r="AF788" s="1" t="n"/>
      <c r="AG788" s="1" t="n"/>
      <c r="AH788" s="1" t="n"/>
      <c r="AI788" s="1" t="n"/>
      <c r="AJ788" s="1" t="n"/>
      <c r="AK788" s="1" t="n"/>
      <c r="AL788" s="1" t="n"/>
    </row>
    <row r="789" ht="14.2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  <c r="AC789" s="1" t="n"/>
      <c r="AD789" s="1" t="n"/>
      <c r="AE789" s="1" t="n"/>
      <c r="AF789" s="1" t="n"/>
      <c r="AG789" s="1" t="n"/>
      <c r="AH789" s="1" t="n"/>
      <c r="AI789" s="1" t="n"/>
      <c r="AJ789" s="1" t="n"/>
      <c r="AK789" s="1" t="n"/>
      <c r="AL789" s="1" t="n"/>
    </row>
    <row r="790" ht="14.2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  <c r="AC790" s="1" t="n"/>
      <c r="AD790" s="1" t="n"/>
      <c r="AE790" s="1" t="n"/>
      <c r="AF790" s="1" t="n"/>
      <c r="AG790" s="1" t="n"/>
      <c r="AH790" s="1" t="n"/>
      <c r="AI790" s="1" t="n"/>
      <c r="AJ790" s="1" t="n"/>
      <c r="AK790" s="1" t="n"/>
      <c r="AL790" s="1" t="n"/>
    </row>
    <row r="791" ht="14.2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  <c r="AC791" s="1" t="n"/>
      <c r="AD791" s="1" t="n"/>
      <c r="AE791" s="1" t="n"/>
      <c r="AF791" s="1" t="n"/>
      <c r="AG791" s="1" t="n"/>
      <c r="AH791" s="1" t="n"/>
      <c r="AI791" s="1" t="n"/>
      <c r="AJ791" s="1" t="n"/>
      <c r="AK791" s="1" t="n"/>
      <c r="AL791" s="1" t="n"/>
    </row>
    <row r="792" ht="14.2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  <c r="AC792" s="1" t="n"/>
      <c r="AD792" s="1" t="n"/>
      <c r="AE792" s="1" t="n"/>
      <c r="AF792" s="1" t="n"/>
      <c r="AG792" s="1" t="n"/>
      <c r="AH792" s="1" t="n"/>
      <c r="AI792" s="1" t="n"/>
      <c r="AJ792" s="1" t="n"/>
      <c r="AK792" s="1" t="n"/>
      <c r="AL792" s="1" t="n"/>
    </row>
    <row r="793" ht="14.2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  <c r="AC793" s="1" t="n"/>
      <c r="AD793" s="1" t="n"/>
      <c r="AE793" s="1" t="n"/>
      <c r="AF793" s="1" t="n"/>
      <c r="AG793" s="1" t="n"/>
      <c r="AH793" s="1" t="n"/>
      <c r="AI793" s="1" t="n"/>
      <c r="AJ793" s="1" t="n"/>
      <c r="AK793" s="1" t="n"/>
      <c r="AL793" s="1" t="n"/>
    </row>
    <row r="794" ht="14.2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  <c r="AC794" s="1" t="n"/>
      <c r="AD794" s="1" t="n"/>
      <c r="AE794" s="1" t="n"/>
      <c r="AF794" s="1" t="n"/>
      <c r="AG794" s="1" t="n"/>
      <c r="AH794" s="1" t="n"/>
      <c r="AI794" s="1" t="n"/>
      <c r="AJ794" s="1" t="n"/>
      <c r="AK794" s="1" t="n"/>
      <c r="AL794" s="1" t="n"/>
    </row>
    <row r="795" ht="14.2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  <c r="AC795" s="1" t="n"/>
      <c r="AD795" s="1" t="n"/>
      <c r="AE795" s="1" t="n"/>
      <c r="AF795" s="1" t="n"/>
      <c r="AG795" s="1" t="n"/>
      <c r="AH795" s="1" t="n"/>
      <c r="AI795" s="1" t="n"/>
      <c r="AJ795" s="1" t="n"/>
      <c r="AK795" s="1" t="n"/>
      <c r="AL795" s="1" t="n"/>
    </row>
    <row r="796" ht="14.2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  <c r="AC796" s="1" t="n"/>
      <c r="AD796" s="1" t="n"/>
      <c r="AE796" s="1" t="n"/>
      <c r="AF796" s="1" t="n"/>
      <c r="AG796" s="1" t="n"/>
      <c r="AH796" s="1" t="n"/>
      <c r="AI796" s="1" t="n"/>
      <c r="AJ796" s="1" t="n"/>
      <c r="AK796" s="1" t="n"/>
      <c r="AL796" s="1" t="n"/>
    </row>
    <row r="797" ht="14.2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  <c r="AC797" s="1" t="n"/>
      <c r="AD797" s="1" t="n"/>
      <c r="AE797" s="1" t="n"/>
      <c r="AF797" s="1" t="n"/>
      <c r="AG797" s="1" t="n"/>
      <c r="AH797" s="1" t="n"/>
      <c r="AI797" s="1" t="n"/>
      <c r="AJ797" s="1" t="n"/>
      <c r="AK797" s="1" t="n"/>
      <c r="AL797" s="1" t="n"/>
    </row>
    <row r="798" ht="14.2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  <c r="AC798" s="1" t="n"/>
      <c r="AD798" s="1" t="n"/>
      <c r="AE798" s="1" t="n"/>
      <c r="AF798" s="1" t="n"/>
      <c r="AG798" s="1" t="n"/>
      <c r="AH798" s="1" t="n"/>
      <c r="AI798" s="1" t="n"/>
      <c r="AJ798" s="1" t="n"/>
      <c r="AK798" s="1" t="n"/>
      <c r="AL798" s="1" t="n"/>
    </row>
    <row r="799" ht="14.2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  <c r="AC799" s="1" t="n"/>
      <c r="AD799" s="1" t="n"/>
      <c r="AE799" s="1" t="n"/>
      <c r="AF799" s="1" t="n"/>
      <c r="AG799" s="1" t="n"/>
      <c r="AH799" s="1" t="n"/>
      <c r="AI799" s="1" t="n"/>
      <c r="AJ799" s="1" t="n"/>
      <c r="AK799" s="1" t="n"/>
      <c r="AL799" s="1" t="n"/>
    </row>
    <row r="800" ht="14.2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  <c r="AC800" s="1" t="n"/>
      <c r="AD800" s="1" t="n"/>
      <c r="AE800" s="1" t="n"/>
      <c r="AF800" s="1" t="n"/>
      <c r="AG800" s="1" t="n"/>
      <c r="AH800" s="1" t="n"/>
      <c r="AI800" s="1" t="n"/>
      <c r="AJ800" s="1" t="n"/>
      <c r="AK800" s="1" t="n"/>
      <c r="AL800" s="1" t="n"/>
    </row>
    <row r="801" ht="14.2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  <c r="AC801" s="1" t="n"/>
      <c r="AD801" s="1" t="n"/>
      <c r="AE801" s="1" t="n"/>
      <c r="AF801" s="1" t="n"/>
      <c r="AG801" s="1" t="n"/>
      <c r="AH801" s="1" t="n"/>
      <c r="AI801" s="1" t="n"/>
      <c r="AJ801" s="1" t="n"/>
      <c r="AK801" s="1" t="n"/>
      <c r="AL801" s="1" t="n"/>
    </row>
    <row r="802" ht="14.2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  <c r="AC802" s="1" t="n"/>
      <c r="AD802" s="1" t="n"/>
      <c r="AE802" s="1" t="n"/>
      <c r="AF802" s="1" t="n"/>
      <c r="AG802" s="1" t="n"/>
      <c r="AH802" s="1" t="n"/>
      <c r="AI802" s="1" t="n"/>
      <c r="AJ802" s="1" t="n"/>
      <c r="AK802" s="1" t="n"/>
      <c r="AL802" s="1" t="n"/>
    </row>
    <row r="803" ht="14.2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  <c r="AC803" s="1" t="n"/>
      <c r="AD803" s="1" t="n"/>
      <c r="AE803" s="1" t="n"/>
      <c r="AF803" s="1" t="n"/>
      <c r="AG803" s="1" t="n"/>
      <c r="AH803" s="1" t="n"/>
      <c r="AI803" s="1" t="n"/>
      <c r="AJ803" s="1" t="n"/>
      <c r="AK803" s="1" t="n"/>
      <c r="AL803" s="1" t="n"/>
    </row>
    <row r="804" ht="14.2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  <c r="AC804" s="1" t="n"/>
      <c r="AD804" s="1" t="n"/>
      <c r="AE804" s="1" t="n"/>
      <c r="AF804" s="1" t="n"/>
      <c r="AG804" s="1" t="n"/>
      <c r="AH804" s="1" t="n"/>
      <c r="AI804" s="1" t="n"/>
      <c r="AJ804" s="1" t="n"/>
      <c r="AK804" s="1" t="n"/>
      <c r="AL804" s="1" t="n"/>
    </row>
    <row r="805" ht="14.2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  <c r="AC805" s="1" t="n"/>
      <c r="AD805" s="1" t="n"/>
      <c r="AE805" s="1" t="n"/>
      <c r="AF805" s="1" t="n"/>
      <c r="AG805" s="1" t="n"/>
      <c r="AH805" s="1" t="n"/>
      <c r="AI805" s="1" t="n"/>
      <c r="AJ805" s="1" t="n"/>
      <c r="AK805" s="1" t="n"/>
      <c r="AL805" s="1" t="n"/>
    </row>
    <row r="806" ht="14.2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  <c r="AC806" s="1" t="n"/>
      <c r="AD806" s="1" t="n"/>
      <c r="AE806" s="1" t="n"/>
      <c r="AF806" s="1" t="n"/>
      <c r="AG806" s="1" t="n"/>
      <c r="AH806" s="1" t="n"/>
      <c r="AI806" s="1" t="n"/>
      <c r="AJ806" s="1" t="n"/>
      <c r="AK806" s="1" t="n"/>
      <c r="AL806" s="1" t="n"/>
    </row>
    <row r="807" ht="14.2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  <c r="AC807" s="1" t="n"/>
      <c r="AD807" s="1" t="n"/>
      <c r="AE807" s="1" t="n"/>
      <c r="AF807" s="1" t="n"/>
      <c r="AG807" s="1" t="n"/>
      <c r="AH807" s="1" t="n"/>
      <c r="AI807" s="1" t="n"/>
      <c r="AJ807" s="1" t="n"/>
      <c r="AK807" s="1" t="n"/>
      <c r="AL807" s="1" t="n"/>
    </row>
    <row r="808" ht="14.2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  <c r="AC808" s="1" t="n"/>
      <c r="AD808" s="1" t="n"/>
      <c r="AE808" s="1" t="n"/>
      <c r="AF808" s="1" t="n"/>
      <c r="AG808" s="1" t="n"/>
      <c r="AH808" s="1" t="n"/>
      <c r="AI808" s="1" t="n"/>
      <c r="AJ808" s="1" t="n"/>
      <c r="AK808" s="1" t="n"/>
      <c r="AL808" s="1" t="n"/>
    </row>
    <row r="809" ht="14.2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  <c r="AC809" s="1" t="n"/>
      <c r="AD809" s="1" t="n"/>
      <c r="AE809" s="1" t="n"/>
      <c r="AF809" s="1" t="n"/>
      <c r="AG809" s="1" t="n"/>
      <c r="AH809" s="1" t="n"/>
      <c r="AI809" s="1" t="n"/>
      <c r="AJ809" s="1" t="n"/>
      <c r="AK809" s="1" t="n"/>
      <c r="AL809" s="1" t="n"/>
    </row>
    <row r="810" ht="14.2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  <c r="AC810" s="1" t="n"/>
      <c r="AD810" s="1" t="n"/>
      <c r="AE810" s="1" t="n"/>
      <c r="AF810" s="1" t="n"/>
      <c r="AG810" s="1" t="n"/>
      <c r="AH810" s="1" t="n"/>
      <c r="AI810" s="1" t="n"/>
      <c r="AJ810" s="1" t="n"/>
      <c r="AK810" s="1" t="n"/>
      <c r="AL810" s="1" t="n"/>
    </row>
    <row r="811" ht="14.2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  <c r="AC811" s="1" t="n"/>
      <c r="AD811" s="1" t="n"/>
      <c r="AE811" s="1" t="n"/>
      <c r="AF811" s="1" t="n"/>
      <c r="AG811" s="1" t="n"/>
      <c r="AH811" s="1" t="n"/>
      <c r="AI811" s="1" t="n"/>
      <c r="AJ811" s="1" t="n"/>
      <c r="AK811" s="1" t="n"/>
      <c r="AL811" s="1" t="n"/>
    </row>
    <row r="812" ht="14.2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  <c r="AC812" s="1" t="n"/>
      <c r="AD812" s="1" t="n"/>
      <c r="AE812" s="1" t="n"/>
      <c r="AF812" s="1" t="n"/>
      <c r="AG812" s="1" t="n"/>
      <c r="AH812" s="1" t="n"/>
      <c r="AI812" s="1" t="n"/>
      <c r="AJ812" s="1" t="n"/>
      <c r="AK812" s="1" t="n"/>
      <c r="AL812" s="1" t="n"/>
    </row>
    <row r="813" ht="14.2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  <c r="AC813" s="1" t="n"/>
      <c r="AD813" s="1" t="n"/>
      <c r="AE813" s="1" t="n"/>
      <c r="AF813" s="1" t="n"/>
      <c r="AG813" s="1" t="n"/>
      <c r="AH813" s="1" t="n"/>
      <c r="AI813" s="1" t="n"/>
      <c r="AJ813" s="1" t="n"/>
      <c r="AK813" s="1" t="n"/>
      <c r="AL813" s="1" t="n"/>
    </row>
    <row r="814" ht="14.2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  <c r="AC814" s="1" t="n"/>
      <c r="AD814" s="1" t="n"/>
      <c r="AE814" s="1" t="n"/>
      <c r="AF814" s="1" t="n"/>
      <c r="AG814" s="1" t="n"/>
      <c r="AH814" s="1" t="n"/>
      <c r="AI814" s="1" t="n"/>
      <c r="AJ814" s="1" t="n"/>
      <c r="AK814" s="1" t="n"/>
      <c r="AL814" s="1" t="n"/>
    </row>
    <row r="815" ht="14.2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  <c r="AC815" s="1" t="n"/>
      <c r="AD815" s="1" t="n"/>
      <c r="AE815" s="1" t="n"/>
      <c r="AF815" s="1" t="n"/>
      <c r="AG815" s="1" t="n"/>
      <c r="AH815" s="1" t="n"/>
      <c r="AI815" s="1" t="n"/>
      <c r="AJ815" s="1" t="n"/>
      <c r="AK815" s="1" t="n"/>
      <c r="AL815" s="1" t="n"/>
    </row>
    <row r="816" ht="14.2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  <c r="AC816" s="1" t="n"/>
      <c r="AD816" s="1" t="n"/>
      <c r="AE816" s="1" t="n"/>
      <c r="AF816" s="1" t="n"/>
      <c r="AG816" s="1" t="n"/>
      <c r="AH816" s="1" t="n"/>
      <c r="AI816" s="1" t="n"/>
      <c r="AJ816" s="1" t="n"/>
      <c r="AK816" s="1" t="n"/>
      <c r="AL816" s="1" t="n"/>
    </row>
    <row r="817" ht="14.2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  <c r="AC817" s="1" t="n"/>
      <c r="AD817" s="1" t="n"/>
      <c r="AE817" s="1" t="n"/>
      <c r="AF817" s="1" t="n"/>
      <c r="AG817" s="1" t="n"/>
      <c r="AH817" s="1" t="n"/>
      <c r="AI817" s="1" t="n"/>
      <c r="AJ817" s="1" t="n"/>
      <c r="AK817" s="1" t="n"/>
      <c r="AL817" s="1" t="n"/>
    </row>
    <row r="818" ht="14.2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  <c r="AC818" s="1" t="n"/>
      <c r="AD818" s="1" t="n"/>
      <c r="AE818" s="1" t="n"/>
      <c r="AF818" s="1" t="n"/>
      <c r="AG818" s="1" t="n"/>
      <c r="AH818" s="1" t="n"/>
      <c r="AI818" s="1" t="n"/>
      <c r="AJ818" s="1" t="n"/>
      <c r="AK818" s="1" t="n"/>
      <c r="AL818" s="1" t="n"/>
    </row>
    <row r="819" ht="14.2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  <c r="AC819" s="1" t="n"/>
      <c r="AD819" s="1" t="n"/>
      <c r="AE819" s="1" t="n"/>
      <c r="AF819" s="1" t="n"/>
      <c r="AG819" s="1" t="n"/>
      <c r="AH819" s="1" t="n"/>
      <c r="AI819" s="1" t="n"/>
      <c r="AJ819" s="1" t="n"/>
      <c r="AK819" s="1" t="n"/>
      <c r="AL819" s="1" t="n"/>
    </row>
    <row r="820" ht="14.2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  <c r="AC820" s="1" t="n"/>
      <c r="AD820" s="1" t="n"/>
      <c r="AE820" s="1" t="n"/>
      <c r="AF820" s="1" t="n"/>
      <c r="AG820" s="1" t="n"/>
      <c r="AH820" s="1" t="n"/>
      <c r="AI820" s="1" t="n"/>
      <c r="AJ820" s="1" t="n"/>
      <c r="AK820" s="1" t="n"/>
      <c r="AL820" s="1" t="n"/>
    </row>
    <row r="821" ht="14.2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  <c r="AC821" s="1" t="n"/>
      <c r="AD821" s="1" t="n"/>
      <c r="AE821" s="1" t="n"/>
      <c r="AF821" s="1" t="n"/>
      <c r="AG821" s="1" t="n"/>
      <c r="AH821" s="1" t="n"/>
      <c r="AI821" s="1" t="n"/>
      <c r="AJ821" s="1" t="n"/>
      <c r="AK821" s="1" t="n"/>
      <c r="AL821" s="1" t="n"/>
    </row>
    <row r="822" ht="14.2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  <c r="AC822" s="1" t="n"/>
      <c r="AD822" s="1" t="n"/>
      <c r="AE822" s="1" t="n"/>
      <c r="AF822" s="1" t="n"/>
      <c r="AG822" s="1" t="n"/>
      <c r="AH822" s="1" t="n"/>
      <c r="AI822" s="1" t="n"/>
      <c r="AJ822" s="1" t="n"/>
      <c r="AK822" s="1" t="n"/>
      <c r="AL822" s="1" t="n"/>
    </row>
    <row r="823" ht="14.2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  <c r="AC823" s="1" t="n"/>
      <c r="AD823" s="1" t="n"/>
      <c r="AE823" s="1" t="n"/>
      <c r="AF823" s="1" t="n"/>
      <c r="AG823" s="1" t="n"/>
      <c r="AH823" s="1" t="n"/>
      <c r="AI823" s="1" t="n"/>
      <c r="AJ823" s="1" t="n"/>
      <c r="AK823" s="1" t="n"/>
      <c r="AL823" s="1" t="n"/>
    </row>
    <row r="824" ht="14.2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  <c r="AC824" s="1" t="n"/>
      <c r="AD824" s="1" t="n"/>
      <c r="AE824" s="1" t="n"/>
      <c r="AF824" s="1" t="n"/>
      <c r="AG824" s="1" t="n"/>
      <c r="AH824" s="1" t="n"/>
      <c r="AI824" s="1" t="n"/>
      <c r="AJ824" s="1" t="n"/>
      <c r="AK824" s="1" t="n"/>
      <c r="AL824" s="1" t="n"/>
    </row>
    <row r="825" ht="14.2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  <c r="AC825" s="1" t="n"/>
      <c r="AD825" s="1" t="n"/>
      <c r="AE825" s="1" t="n"/>
      <c r="AF825" s="1" t="n"/>
      <c r="AG825" s="1" t="n"/>
      <c r="AH825" s="1" t="n"/>
      <c r="AI825" s="1" t="n"/>
      <c r="AJ825" s="1" t="n"/>
      <c r="AK825" s="1" t="n"/>
      <c r="AL825" s="1" t="n"/>
    </row>
    <row r="826" ht="14.2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  <c r="AC826" s="1" t="n"/>
      <c r="AD826" s="1" t="n"/>
      <c r="AE826" s="1" t="n"/>
      <c r="AF826" s="1" t="n"/>
      <c r="AG826" s="1" t="n"/>
      <c r="AH826" s="1" t="n"/>
      <c r="AI826" s="1" t="n"/>
      <c r="AJ826" s="1" t="n"/>
      <c r="AK826" s="1" t="n"/>
      <c r="AL826" s="1" t="n"/>
    </row>
    <row r="827" ht="14.2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  <c r="AC827" s="1" t="n"/>
      <c r="AD827" s="1" t="n"/>
      <c r="AE827" s="1" t="n"/>
      <c r="AF827" s="1" t="n"/>
      <c r="AG827" s="1" t="n"/>
      <c r="AH827" s="1" t="n"/>
      <c r="AI827" s="1" t="n"/>
      <c r="AJ827" s="1" t="n"/>
      <c r="AK827" s="1" t="n"/>
      <c r="AL827" s="1" t="n"/>
    </row>
    <row r="828" ht="14.2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  <c r="AC828" s="1" t="n"/>
      <c r="AD828" s="1" t="n"/>
      <c r="AE828" s="1" t="n"/>
      <c r="AF828" s="1" t="n"/>
      <c r="AG828" s="1" t="n"/>
      <c r="AH828" s="1" t="n"/>
      <c r="AI828" s="1" t="n"/>
      <c r="AJ828" s="1" t="n"/>
      <c r="AK828" s="1" t="n"/>
      <c r="AL828" s="1" t="n"/>
    </row>
    <row r="829" ht="14.2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  <c r="AC829" s="1" t="n"/>
      <c r="AD829" s="1" t="n"/>
      <c r="AE829" s="1" t="n"/>
      <c r="AF829" s="1" t="n"/>
      <c r="AG829" s="1" t="n"/>
      <c r="AH829" s="1" t="n"/>
      <c r="AI829" s="1" t="n"/>
      <c r="AJ829" s="1" t="n"/>
      <c r="AK829" s="1" t="n"/>
      <c r="AL829" s="1" t="n"/>
    </row>
    <row r="830" ht="14.2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  <c r="AC830" s="1" t="n"/>
      <c r="AD830" s="1" t="n"/>
      <c r="AE830" s="1" t="n"/>
      <c r="AF830" s="1" t="n"/>
      <c r="AG830" s="1" t="n"/>
      <c r="AH830" s="1" t="n"/>
      <c r="AI830" s="1" t="n"/>
      <c r="AJ830" s="1" t="n"/>
      <c r="AK830" s="1" t="n"/>
      <c r="AL830" s="1" t="n"/>
    </row>
    <row r="831" ht="14.2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  <c r="AC831" s="1" t="n"/>
      <c r="AD831" s="1" t="n"/>
      <c r="AE831" s="1" t="n"/>
      <c r="AF831" s="1" t="n"/>
      <c r="AG831" s="1" t="n"/>
      <c r="AH831" s="1" t="n"/>
      <c r="AI831" s="1" t="n"/>
      <c r="AJ831" s="1" t="n"/>
      <c r="AK831" s="1" t="n"/>
      <c r="AL831" s="1" t="n"/>
    </row>
    <row r="832" ht="14.2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  <c r="AC832" s="1" t="n"/>
      <c r="AD832" s="1" t="n"/>
      <c r="AE832" s="1" t="n"/>
      <c r="AF832" s="1" t="n"/>
      <c r="AG832" s="1" t="n"/>
      <c r="AH832" s="1" t="n"/>
      <c r="AI832" s="1" t="n"/>
      <c r="AJ832" s="1" t="n"/>
      <c r="AK832" s="1" t="n"/>
      <c r="AL832" s="1" t="n"/>
    </row>
    <row r="833" ht="14.2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  <c r="AC833" s="1" t="n"/>
      <c r="AD833" s="1" t="n"/>
      <c r="AE833" s="1" t="n"/>
      <c r="AF833" s="1" t="n"/>
      <c r="AG833" s="1" t="n"/>
      <c r="AH833" s="1" t="n"/>
      <c r="AI833" s="1" t="n"/>
      <c r="AJ833" s="1" t="n"/>
      <c r="AK833" s="1" t="n"/>
      <c r="AL833" s="1" t="n"/>
    </row>
    <row r="834" ht="14.2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  <c r="AC834" s="1" t="n"/>
      <c r="AD834" s="1" t="n"/>
      <c r="AE834" s="1" t="n"/>
      <c r="AF834" s="1" t="n"/>
      <c r="AG834" s="1" t="n"/>
      <c r="AH834" s="1" t="n"/>
      <c r="AI834" s="1" t="n"/>
      <c r="AJ834" s="1" t="n"/>
      <c r="AK834" s="1" t="n"/>
      <c r="AL834" s="1" t="n"/>
    </row>
    <row r="835" ht="14.2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  <c r="AC835" s="1" t="n"/>
      <c r="AD835" s="1" t="n"/>
      <c r="AE835" s="1" t="n"/>
      <c r="AF835" s="1" t="n"/>
      <c r="AG835" s="1" t="n"/>
      <c r="AH835" s="1" t="n"/>
      <c r="AI835" s="1" t="n"/>
      <c r="AJ835" s="1" t="n"/>
      <c r="AK835" s="1" t="n"/>
      <c r="AL835" s="1" t="n"/>
    </row>
    <row r="836" ht="14.2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  <c r="AC836" s="1" t="n"/>
      <c r="AD836" s="1" t="n"/>
      <c r="AE836" s="1" t="n"/>
      <c r="AF836" s="1" t="n"/>
      <c r="AG836" s="1" t="n"/>
      <c r="AH836" s="1" t="n"/>
      <c r="AI836" s="1" t="n"/>
      <c r="AJ836" s="1" t="n"/>
      <c r="AK836" s="1" t="n"/>
      <c r="AL836" s="1" t="n"/>
    </row>
    <row r="837" ht="14.2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  <c r="AC837" s="1" t="n"/>
      <c r="AD837" s="1" t="n"/>
      <c r="AE837" s="1" t="n"/>
      <c r="AF837" s="1" t="n"/>
      <c r="AG837" s="1" t="n"/>
      <c r="AH837" s="1" t="n"/>
      <c r="AI837" s="1" t="n"/>
      <c r="AJ837" s="1" t="n"/>
      <c r="AK837" s="1" t="n"/>
      <c r="AL837" s="1" t="n"/>
    </row>
    <row r="838" ht="14.2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  <c r="AC838" s="1" t="n"/>
      <c r="AD838" s="1" t="n"/>
      <c r="AE838" s="1" t="n"/>
      <c r="AF838" s="1" t="n"/>
      <c r="AG838" s="1" t="n"/>
      <c r="AH838" s="1" t="n"/>
      <c r="AI838" s="1" t="n"/>
      <c r="AJ838" s="1" t="n"/>
      <c r="AK838" s="1" t="n"/>
      <c r="AL838" s="1" t="n"/>
    </row>
    <row r="839" ht="14.2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  <c r="AC839" s="1" t="n"/>
      <c r="AD839" s="1" t="n"/>
      <c r="AE839" s="1" t="n"/>
      <c r="AF839" s="1" t="n"/>
      <c r="AG839" s="1" t="n"/>
      <c r="AH839" s="1" t="n"/>
      <c r="AI839" s="1" t="n"/>
      <c r="AJ839" s="1" t="n"/>
      <c r="AK839" s="1" t="n"/>
      <c r="AL839" s="1" t="n"/>
    </row>
    <row r="840" ht="14.2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  <c r="AC840" s="1" t="n"/>
      <c r="AD840" s="1" t="n"/>
      <c r="AE840" s="1" t="n"/>
      <c r="AF840" s="1" t="n"/>
      <c r="AG840" s="1" t="n"/>
      <c r="AH840" s="1" t="n"/>
      <c r="AI840" s="1" t="n"/>
      <c r="AJ840" s="1" t="n"/>
      <c r="AK840" s="1" t="n"/>
      <c r="AL840" s="1" t="n"/>
    </row>
    <row r="841" ht="14.2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  <c r="AC841" s="1" t="n"/>
      <c r="AD841" s="1" t="n"/>
      <c r="AE841" s="1" t="n"/>
      <c r="AF841" s="1" t="n"/>
      <c r="AG841" s="1" t="n"/>
      <c r="AH841" s="1" t="n"/>
      <c r="AI841" s="1" t="n"/>
      <c r="AJ841" s="1" t="n"/>
      <c r="AK841" s="1" t="n"/>
      <c r="AL841" s="1" t="n"/>
    </row>
    <row r="842" ht="14.2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  <c r="AC842" s="1" t="n"/>
      <c r="AD842" s="1" t="n"/>
      <c r="AE842" s="1" t="n"/>
      <c r="AF842" s="1" t="n"/>
      <c r="AG842" s="1" t="n"/>
      <c r="AH842" s="1" t="n"/>
      <c r="AI842" s="1" t="n"/>
      <c r="AJ842" s="1" t="n"/>
      <c r="AK842" s="1" t="n"/>
      <c r="AL842" s="1" t="n"/>
    </row>
    <row r="843" ht="14.2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  <c r="AC843" s="1" t="n"/>
      <c r="AD843" s="1" t="n"/>
      <c r="AE843" s="1" t="n"/>
      <c r="AF843" s="1" t="n"/>
      <c r="AG843" s="1" t="n"/>
      <c r="AH843" s="1" t="n"/>
      <c r="AI843" s="1" t="n"/>
      <c r="AJ843" s="1" t="n"/>
      <c r="AK843" s="1" t="n"/>
      <c r="AL843" s="1" t="n"/>
    </row>
    <row r="844" ht="14.2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  <c r="AC844" s="1" t="n"/>
      <c r="AD844" s="1" t="n"/>
      <c r="AE844" s="1" t="n"/>
      <c r="AF844" s="1" t="n"/>
      <c r="AG844" s="1" t="n"/>
      <c r="AH844" s="1" t="n"/>
      <c r="AI844" s="1" t="n"/>
      <c r="AJ844" s="1" t="n"/>
      <c r="AK844" s="1" t="n"/>
      <c r="AL844" s="1" t="n"/>
    </row>
    <row r="845" ht="14.2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  <c r="AC845" s="1" t="n"/>
      <c r="AD845" s="1" t="n"/>
      <c r="AE845" s="1" t="n"/>
      <c r="AF845" s="1" t="n"/>
      <c r="AG845" s="1" t="n"/>
      <c r="AH845" s="1" t="n"/>
      <c r="AI845" s="1" t="n"/>
      <c r="AJ845" s="1" t="n"/>
      <c r="AK845" s="1" t="n"/>
      <c r="AL845" s="1" t="n"/>
    </row>
    <row r="846" ht="14.2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  <c r="AC846" s="1" t="n"/>
      <c r="AD846" s="1" t="n"/>
      <c r="AE846" s="1" t="n"/>
      <c r="AF846" s="1" t="n"/>
      <c r="AG846" s="1" t="n"/>
      <c r="AH846" s="1" t="n"/>
      <c r="AI846" s="1" t="n"/>
      <c r="AJ846" s="1" t="n"/>
      <c r="AK846" s="1" t="n"/>
      <c r="AL846" s="1" t="n"/>
    </row>
    <row r="847" ht="14.2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  <c r="AC847" s="1" t="n"/>
      <c r="AD847" s="1" t="n"/>
      <c r="AE847" s="1" t="n"/>
      <c r="AF847" s="1" t="n"/>
      <c r="AG847" s="1" t="n"/>
      <c r="AH847" s="1" t="n"/>
      <c r="AI847" s="1" t="n"/>
      <c r="AJ847" s="1" t="n"/>
      <c r="AK847" s="1" t="n"/>
      <c r="AL847" s="1" t="n"/>
    </row>
    <row r="848" ht="14.2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  <c r="AC848" s="1" t="n"/>
      <c r="AD848" s="1" t="n"/>
      <c r="AE848" s="1" t="n"/>
      <c r="AF848" s="1" t="n"/>
      <c r="AG848" s="1" t="n"/>
      <c r="AH848" s="1" t="n"/>
      <c r="AI848" s="1" t="n"/>
      <c r="AJ848" s="1" t="n"/>
      <c r="AK848" s="1" t="n"/>
      <c r="AL848" s="1" t="n"/>
    </row>
    <row r="849" ht="14.2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  <c r="AC849" s="1" t="n"/>
      <c r="AD849" s="1" t="n"/>
      <c r="AE849" s="1" t="n"/>
      <c r="AF849" s="1" t="n"/>
      <c r="AG849" s="1" t="n"/>
      <c r="AH849" s="1" t="n"/>
      <c r="AI849" s="1" t="n"/>
      <c r="AJ849" s="1" t="n"/>
      <c r="AK849" s="1" t="n"/>
      <c r="AL849" s="1" t="n"/>
    </row>
    <row r="850" ht="14.2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  <c r="AC850" s="1" t="n"/>
      <c r="AD850" s="1" t="n"/>
      <c r="AE850" s="1" t="n"/>
      <c r="AF850" s="1" t="n"/>
      <c r="AG850" s="1" t="n"/>
      <c r="AH850" s="1" t="n"/>
      <c r="AI850" s="1" t="n"/>
      <c r="AJ850" s="1" t="n"/>
      <c r="AK850" s="1" t="n"/>
      <c r="AL850" s="1" t="n"/>
    </row>
    <row r="851" ht="14.2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  <c r="AC851" s="1" t="n"/>
      <c r="AD851" s="1" t="n"/>
      <c r="AE851" s="1" t="n"/>
      <c r="AF851" s="1" t="n"/>
      <c r="AG851" s="1" t="n"/>
      <c r="AH851" s="1" t="n"/>
      <c r="AI851" s="1" t="n"/>
      <c r="AJ851" s="1" t="n"/>
      <c r="AK851" s="1" t="n"/>
      <c r="AL851" s="1" t="n"/>
    </row>
    <row r="852" ht="14.2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  <c r="AC852" s="1" t="n"/>
      <c r="AD852" s="1" t="n"/>
      <c r="AE852" s="1" t="n"/>
      <c r="AF852" s="1" t="n"/>
      <c r="AG852" s="1" t="n"/>
      <c r="AH852" s="1" t="n"/>
      <c r="AI852" s="1" t="n"/>
      <c r="AJ852" s="1" t="n"/>
      <c r="AK852" s="1" t="n"/>
      <c r="AL852" s="1" t="n"/>
    </row>
    <row r="853" ht="14.2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  <c r="AC853" s="1" t="n"/>
      <c r="AD853" s="1" t="n"/>
      <c r="AE853" s="1" t="n"/>
      <c r="AF853" s="1" t="n"/>
      <c r="AG853" s="1" t="n"/>
      <c r="AH853" s="1" t="n"/>
      <c r="AI853" s="1" t="n"/>
      <c r="AJ853" s="1" t="n"/>
      <c r="AK853" s="1" t="n"/>
      <c r="AL853" s="1" t="n"/>
    </row>
    <row r="854" ht="14.2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  <c r="AC854" s="1" t="n"/>
      <c r="AD854" s="1" t="n"/>
      <c r="AE854" s="1" t="n"/>
      <c r="AF854" s="1" t="n"/>
      <c r="AG854" s="1" t="n"/>
      <c r="AH854" s="1" t="n"/>
      <c r="AI854" s="1" t="n"/>
      <c r="AJ854" s="1" t="n"/>
      <c r="AK854" s="1" t="n"/>
      <c r="AL854" s="1" t="n"/>
    </row>
    <row r="855" ht="14.2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  <c r="AC855" s="1" t="n"/>
      <c r="AD855" s="1" t="n"/>
      <c r="AE855" s="1" t="n"/>
      <c r="AF855" s="1" t="n"/>
      <c r="AG855" s="1" t="n"/>
      <c r="AH855" s="1" t="n"/>
      <c r="AI855" s="1" t="n"/>
      <c r="AJ855" s="1" t="n"/>
      <c r="AK855" s="1" t="n"/>
      <c r="AL855" s="1" t="n"/>
    </row>
    <row r="856" ht="14.2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  <c r="AC856" s="1" t="n"/>
      <c r="AD856" s="1" t="n"/>
      <c r="AE856" s="1" t="n"/>
      <c r="AF856" s="1" t="n"/>
      <c r="AG856" s="1" t="n"/>
      <c r="AH856" s="1" t="n"/>
      <c r="AI856" s="1" t="n"/>
      <c r="AJ856" s="1" t="n"/>
      <c r="AK856" s="1" t="n"/>
      <c r="AL856" s="1" t="n"/>
    </row>
    <row r="857" ht="14.2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  <c r="AC857" s="1" t="n"/>
      <c r="AD857" s="1" t="n"/>
      <c r="AE857" s="1" t="n"/>
      <c r="AF857" s="1" t="n"/>
      <c r="AG857" s="1" t="n"/>
      <c r="AH857" s="1" t="n"/>
      <c r="AI857" s="1" t="n"/>
      <c r="AJ857" s="1" t="n"/>
      <c r="AK857" s="1" t="n"/>
      <c r="AL857" s="1" t="n"/>
    </row>
    <row r="858" ht="14.2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  <c r="AC858" s="1" t="n"/>
      <c r="AD858" s="1" t="n"/>
      <c r="AE858" s="1" t="n"/>
      <c r="AF858" s="1" t="n"/>
      <c r="AG858" s="1" t="n"/>
      <c r="AH858" s="1" t="n"/>
      <c r="AI858" s="1" t="n"/>
      <c r="AJ858" s="1" t="n"/>
      <c r="AK858" s="1" t="n"/>
      <c r="AL858" s="1" t="n"/>
    </row>
    <row r="859" ht="14.2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  <c r="AC859" s="1" t="n"/>
      <c r="AD859" s="1" t="n"/>
      <c r="AE859" s="1" t="n"/>
      <c r="AF859" s="1" t="n"/>
      <c r="AG859" s="1" t="n"/>
      <c r="AH859" s="1" t="n"/>
      <c r="AI859" s="1" t="n"/>
      <c r="AJ859" s="1" t="n"/>
      <c r="AK859" s="1" t="n"/>
      <c r="AL859" s="1" t="n"/>
    </row>
    <row r="860" ht="14.2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  <c r="AC860" s="1" t="n"/>
      <c r="AD860" s="1" t="n"/>
      <c r="AE860" s="1" t="n"/>
      <c r="AF860" s="1" t="n"/>
      <c r="AG860" s="1" t="n"/>
      <c r="AH860" s="1" t="n"/>
      <c r="AI860" s="1" t="n"/>
      <c r="AJ860" s="1" t="n"/>
      <c r="AK860" s="1" t="n"/>
      <c r="AL860" s="1" t="n"/>
    </row>
    <row r="861" ht="14.2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  <c r="AC861" s="1" t="n"/>
      <c r="AD861" s="1" t="n"/>
      <c r="AE861" s="1" t="n"/>
      <c r="AF861" s="1" t="n"/>
      <c r="AG861" s="1" t="n"/>
      <c r="AH861" s="1" t="n"/>
      <c r="AI861" s="1" t="n"/>
      <c r="AJ861" s="1" t="n"/>
      <c r="AK861" s="1" t="n"/>
      <c r="AL861" s="1" t="n"/>
    </row>
    <row r="862" ht="14.2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  <c r="AC862" s="1" t="n"/>
      <c r="AD862" s="1" t="n"/>
      <c r="AE862" s="1" t="n"/>
      <c r="AF862" s="1" t="n"/>
      <c r="AG862" s="1" t="n"/>
      <c r="AH862" s="1" t="n"/>
      <c r="AI862" s="1" t="n"/>
      <c r="AJ862" s="1" t="n"/>
      <c r="AK862" s="1" t="n"/>
      <c r="AL862" s="1" t="n"/>
    </row>
    <row r="863" ht="14.2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  <c r="AC863" s="1" t="n"/>
      <c r="AD863" s="1" t="n"/>
      <c r="AE863" s="1" t="n"/>
      <c r="AF863" s="1" t="n"/>
      <c r="AG863" s="1" t="n"/>
      <c r="AH863" s="1" t="n"/>
      <c r="AI863" s="1" t="n"/>
      <c r="AJ863" s="1" t="n"/>
      <c r="AK863" s="1" t="n"/>
      <c r="AL863" s="1" t="n"/>
    </row>
    <row r="864" ht="14.2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  <c r="AC864" s="1" t="n"/>
      <c r="AD864" s="1" t="n"/>
      <c r="AE864" s="1" t="n"/>
      <c r="AF864" s="1" t="n"/>
      <c r="AG864" s="1" t="n"/>
      <c r="AH864" s="1" t="n"/>
      <c r="AI864" s="1" t="n"/>
      <c r="AJ864" s="1" t="n"/>
      <c r="AK864" s="1" t="n"/>
      <c r="AL864" s="1" t="n"/>
    </row>
    <row r="865" ht="14.2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  <c r="AC865" s="1" t="n"/>
      <c r="AD865" s="1" t="n"/>
      <c r="AE865" s="1" t="n"/>
      <c r="AF865" s="1" t="n"/>
      <c r="AG865" s="1" t="n"/>
      <c r="AH865" s="1" t="n"/>
      <c r="AI865" s="1" t="n"/>
      <c r="AJ865" s="1" t="n"/>
      <c r="AK865" s="1" t="n"/>
      <c r="AL865" s="1" t="n"/>
    </row>
    <row r="866" ht="14.2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  <c r="AC866" s="1" t="n"/>
      <c r="AD866" s="1" t="n"/>
      <c r="AE866" s="1" t="n"/>
      <c r="AF866" s="1" t="n"/>
      <c r="AG866" s="1" t="n"/>
      <c r="AH866" s="1" t="n"/>
      <c r="AI866" s="1" t="n"/>
      <c r="AJ866" s="1" t="n"/>
      <c r="AK866" s="1" t="n"/>
      <c r="AL866" s="1" t="n"/>
    </row>
    <row r="867" ht="14.2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  <c r="AC867" s="1" t="n"/>
      <c r="AD867" s="1" t="n"/>
      <c r="AE867" s="1" t="n"/>
      <c r="AF867" s="1" t="n"/>
      <c r="AG867" s="1" t="n"/>
      <c r="AH867" s="1" t="n"/>
      <c r="AI867" s="1" t="n"/>
      <c r="AJ867" s="1" t="n"/>
      <c r="AK867" s="1" t="n"/>
      <c r="AL867" s="1" t="n"/>
    </row>
    <row r="868" ht="14.2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  <c r="AC868" s="1" t="n"/>
      <c r="AD868" s="1" t="n"/>
      <c r="AE868" s="1" t="n"/>
      <c r="AF868" s="1" t="n"/>
      <c r="AG868" s="1" t="n"/>
      <c r="AH868" s="1" t="n"/>
      <c r="AI868" s="1" t="n"/>
      <c r="AJ868" s="1" t="n"/>
      <c r="AK868" s="1" t="n"/>
      <c r="AL868" s="1" t="n"/>
    </row>
    <row r="869" ht="14.2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  <c r="AC869" s="1" t="n"/>
      <c r="AD869" s="1" t="n"/>
      <c r="AE869" s="1" t="n"/>
      <c r="AF869" s="1" t="n"/>
      <c r="AG869" s="1" t="n"/>
      <c r="AH869" s="1" t="n"/>
      <c r="AI869" s="1" t="n"/>
      <c r="AJ869" s="1" t="n"/>
      <c r="AK869" s="1" t="n"/>
      <c r="AL869" s="1" t="n"/>
    </row>
    <row r="870" ht="14.2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  <c r="AC870" s="1" t="n"/>
      <c r="AD870" s="1" t="n"/>
      <c r="AE870" s="1" t="n"/>
      <c r="AF870" s="1" t="n"/>
      <c r="AG870" s="1" t="n"/>
      <c r="AH870" s="1" t="n"/>
      <c r="AI870" s="1" t="n"/>
      <c r="AJ870" s="1" t="n"/>
      <c r="AK870" s="1" t="n"/>
      <c r="AL870" s="1" t="n"/>
    </row>
    <row r="871" ht="14.2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  <c r="AC871" s="1" t="n"/>
      <c r="AD871" s="1" t="n"/>
      <c r="AE871" s="1" t="n"/>
      <c r="AF871" s="1" t="n"/>
      <c r="AG871" s="1" t="n"/>
      <c r="AH871" s="1" t="n"/>
      <c r="AI871" s="1" t="n"/>
      <c r="AJ871" s="1" t="n"/>
      <c r="AK871" s="1" t="n"/>
      <c r="AL871" s="1" t="n"/>
    </row>
    <row r="872" ht="14.2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  <c r="AC872" s="1" t="n"/>
      <c r="AD872" s="1" t="n"/>
      <c r="AE872" s="1" t="n"/>
      <c r="AF872" s="1" t="n"/>
      <c r="AG872" s="1" t="n"/>
      <c r="AH872" s="1" t="n"/>
      <c r="AI872" s="1" t="n"/>
      <c r="AJ872" s="1" t="n"/>
      <c r="AK872" s="1" t="n"/>
      <c r="AL872" s="1" t="n"/>
    </row>
    <row r="873" ht="14.2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  <c r="AC873" s="1" t="n"/>
      <c r="AD873" s="1" t="n"/>
      <c r="AE873" s="1" t="n"/>
      <c r="AF873" s="1" t="n"/>
      <c r="AG873" s="1" t="n"/>
      <c r="AH873" s="1" t="n"/>
      <c r="AI873" s="1" t="n"/>
      <c r="AJ873" s="1" t="n"/>
      <c r="AK873" s="1" t="n"/>
      <c r="AL873" s="1" t="n"/>
    </row>
    <row r="874" ht="14.2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  <c r="AC874" s="1" t="n"/>
      <c r="AD874" s="1" t="n"/>
      <c r="AE874" s="1" t="n"/>
      <c r="AF874" s="1" t="n"/>
      <c r="AG874" s="1" t="n"/>
      <c r="AH874" s="1" t="n"/>
      <c r="AI874" s="1" t="n"/>
      <c r="AJ874" s="1" t="n"/>
      <c r="AK874" s="1" t="n"/>
      <c r="AL874" s="1" t="n"/>
    </row>
    <row r="875" ht="14.2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  <c r="AC875" s="1" t="n"/>
      <c r="AD875" s="1" t="n"/>
      <c r="AE875" s="1" t="n"/>
      <c r="AF875" s="1" t="n"/>
      <c r="AG875" s="1" t="n"/>
      <c r="AH875" s="1" t="n"/>
      <c r="AI875" s="1" t="n"/>
      <c r="AJ875" s="1" t="n"/>
      <c r="AK875" s="1" t="n"/>
      <c r="AL875" s="1" t="n"/>
    </row>
    <row r="876" ht="14.2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  <c r="AC876" s="1" t="n"/>
      <c r="AD876" s="1" t="n"/>
      <c r="AE876" s="1" t="n"/>
      <c r="AF876" s="1" t="n"/>
      <c r="AG876" s="1" t="n"/>
      <c r="AH876" s="1" t="n"/>
      <c r="AI876" s="1" t="n"/>
      <c r="AJ876" s="1" t="n"/>
      <c r="AK876" s="1" t="n"/>
      <c r="AL876" s="1" t="n"/>
    </row>
    <row r="877" ht="14.2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  <c r="AC877" s="1" t="n"/>
      <c r="AD877" s="1" t="n"/>
      <c r="AE877" s="1" t="n"/>
      <c r="AF877" s="1" t="n"/>
      <c r="AG877" s="1" t="n"/>
      <c r="AH877" s="1" t="n"/>
      <c r="AI877" s="1" t="n"/>
      <c r="AJ877" s="1" t="n"/>
      <c r="AK877" s="1" t="n"/>
      <c r="AL877" s="1" t="n"/>
    </row>
    <row r="878" ht="14.2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  <c r="AC878" s="1" t="n"/>
      <c r="AD878" s="1" t="n"/>
      <c r="AE878" s="1" t="n"/>
      <c r="AF878" s="1" t="n"/>
      <c r="AG878" s="1" t="n"/>
      <c r="AH878" s="1" t="n"/>
      <c r="AI878" s="1" t="n"/>
      <c r="AJ878" s="1" t="n"/>
      <c r="AK878" s="1" t="n"/>
      <c r="AL878" s="1" t="n"/>
    </row>
    <row r="879" ht="14.2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  <c r="AC879" s="1" t="n"/>
      <c r="AD879" s="1" t="n"/>
      <c r="AE879" s="1" t="n"/>
      <c r="AF879" s="1" t="n"/>
      <c r="AG879" s="1" t="n"/>
      <c r="AH879" s="1" t="n"/>
      <c r="AI879" s="1" t="n"/>
      <c r="AJ879" s="1" t="n"/>
      <c r="AK879" s="1" t="n"/>
      <c r="AL879" s="1" t="n"/>
    </row>
    <row r="880" ht="14.2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  <c r="AC880" s="1" t="n"/>
      <c r="AD880" s="1" t="n"/>
      <c r="AE880" s="1" t="n"/>
      <c r="AF880" s="1" t="n"/>
      <c r="AG880" s="1" t="n"/>
      <c r="AH880" s="1" t="n"/>
      <c r="AI880" s="1" t="n"/>
      <c r="AJ880" s="1" t="n"/>
      <c r="AK880" s="1" t="n"/>
      <c r="AL880" s="1" t="n"/>
    </row>
    <row r="881" ht="14.2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  <c r="AC881" s="1" t="n"/>
      <c r="AD881" s="1" t="n"/>
      <c r="AE881" s="1" t="n"/>
      <c r="AF881" s="1" t="n"/>
      <c r="AG881" s="1" t="n"/>
      <c r="AH881" s="1" t="n"/>
      <c r="AI881" s="1" t="n"/>
      <c r="AJ881" s="1" t="n"/>
      <c r="AK881" s="1" t="n"/>
      <c r="AL881" s="1" t="n"/>
    </row>
    <row r="882" ht="14.2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  <c r="AC882" s="1" t="n"/>
      <c r="AD882" s="1" t="n"/>
      <c r="AE882" s="1" t="n"/>
      <c r="AF882" s="1" t="n"/>
      <c r="AG882" s="1" t="n"/>
      <c r="AH882" s="1" t="n"/>
      <c r="AI882" s="1" t="n"/>
      <c r="AJ882" s="1" t="n"/>
      <c r="AK882" s="1" t="n"/>
      <c r="AL882" s="1" t="n"/>
    </row>
    <row r="883" ht="14.2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  <c r="AC883" s="1" t="n"/>
      <c r="AD883" s="1" t="n"/>
      <c r="AE883" s="1" t="n"/>
      <c r="AF883" s="1" t="n"/>
      <c r="AG883" s="1" t="n"/>
      <c r="AH883" s="1" t="n"/>
      <c r="AI883" s="1" t="n"/>
      <c r="AJ883" s="1" t="n"/>
      <c r="AK883" s="1" t="n"/>
      <c r="AL883" s="1" t="n"/>
    </row>
    <row r="884" ht="14.2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  <c r="AC884" s="1" t="n"/>
      <c r="AD884" s="1" t="n"/>
      <c r="AE884" s="1" t="n"/>
      <c r="AF884" s="1" t="n"/>
      <c r="AG884" s="1" t="n"/>
      <c r="AH884" s="1" t="n"/>
      <c r="AI884" s="1" t="n"/>
      <c r="AJ884" s="1" t="n"/>
      <c r="AK884" s="1" t="n"/>
      <c r="AL884" s="1" t="n"/>
    </row>
    <row r="885" ht="14.2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  <c r="AC885" s="1" t="n"/>
      <c r="AD885" s="1" t="n"/>
      <c r="AE885" s="1" t="n"/>
      <c r="AF885" s="1" t="n"/>
      <c r="AG885" s="1" t="n"/>
      <c r="AH885" s="1" t="n"/>
      <c r="AI885" s="1" t="n"/>
      <c r="AJ885" s="1" t="n"/>
      <c r="AK885" s="1" t="n"/>
      <c r="AL885" s="1" t="n"/>
    </row>
    <row r="886" ht="14.2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  <c r="AC886" s="1" t="n"/>
      <c r="AD886" s="1" t="n"/>
      <c r="AE886" s="1" t="n"/>
      <c r="AF886" s="1" t="n"/>
      <c r="AG886" s="1" t="n"/>
      <c r="AH886" s="1" t="n"/>
      <c r="AI886" s="1" t="n"/>
      <c r="AJ886" s="1" t="n"/>
      <c r="AK886" s="1" t="n"/>
      <c r="AL886" s="1" t="n"/>
    </row>
    <row r="887" ht="14.2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  <c r="AC887" s="1" t="n"/>
      <c r="AD887" s="1" t="n"/>
      <c r="AE887" s="1" t="n"/>
      <c r="AF887" s="1" t="n"/>
      <c r="AG887" s="1" t="n"/>
      <c r="AH887" s="1" t="n"/>
      <c r="AI887" s="1" t="n"/>
      <c r="AJ887" s="1" t="n"/>
      <c r="AK887" s="1" t="n"/>
      <c r="AL887" s="1" t="n"/>
    </row>
    <row r="888" ht="14.2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  <c r="AC888" s="1" t="n"/>
      <c r="AD888" s="1" t="n"/>
      <c r="AE888" s="1" t="n"/>
      <c r="AF888" s="1" t="n"/>
      <c r="AG888" s="1" t="n"/>
      <c r="AH888" s="1" t="n"/>
      <c r="AI888" s="1" t="n"/>
      <c r="AJ888" s="1" t="n"/>
      <c r="AK888" s="1" t="n"/>
      <c r="AL888" s="1" t="n"/>
    </row>
    <row r="889" ht="14.2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  <c r="AC889" s="1" t="n"/>
      <c r="AD889" s="1" t="n"/>
      <c r="AE889" s="1" t="n"/>
      <c r="AF889" s="1" t="n"/>
      <c r="AG889" s="1" t="n"/>
      <c r="AH889" s="1" t="n"/>
      <c r="AI889" s="1" t="n"/>
      <c r="AJ889" s="1" t="n"/>
      <c r="AK889" s="1" t="n"/>
      <c r="AL889" s="1" t="n"/>
    </row>
    <row r="890" ht="14.2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  <c r="AC890" s="1" t="n"/>
      <c r="AD890" s="1" t="n"/>
      <c r="AE890" s="1" t="n"/>
      <c r="AF890" s="1" t="n"/>
      <c r="AG890" s="1" t="n"/>
      <c r="AH890" s="1" t="n"/>
      <c r="AI890" s="1" t="n"/>
      <c r="AJ890" s="1" t="n"/>
      <c r="AK890" s="1" t="n"/>
      <c r="AL890" s="1" t="n"/>
    </row>
    <row r="891" ht="14.2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  <c r="AC891" s="1" t="n"/>
      <c r="AD891" s="1" t="n"/>
      <c r="AE891" s="1" t="n"/>
      <c r="AF891" s="1" t="n"/>
      <c r="AG891" s="1" t="n"/>
      <c r="AH891" s="1" t="n"/>
      <c r="AI891" s="1" t="n"/>
      <c r="AJ891" s="1" t="n"/>
      <c r="AK891" s="1" t="n"/>
      <c r="AL891" s="1" t="n"/>
    </row>
    <row r="892" ht="14.2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  <c r="AC892" s="1" t="n"/>
      <c r="AD892" s="1" t="n"/>
      <c r="AE892" s="1" t="n"/>
      <c r="AF892" s="1" t="n"/>
      <c r="AG892" s="1" t="n"/>
      <c r="AH892" s="1" t="n"/>
      <c r="AI892" s="1" t="n"/>
      <c r="AJ892" s="1" t="n"/>
      <c r="AK892" s="1" t="n"/>
      <c r="AL892" s="1" t="n"/>
    </row>
    <row r="893" ht="14.2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  <c r="AC893" s="1" t="n"/>
      <c r="AD893" s="1" t="n"/>
      <c r="AE893" s="1" t="n"/>
      <c r="AF893" s="1" t="n"/>
      <c r="AG893" s="1" t="n"/>
      <c r="AH893" s="1" t="n"/>
      <c r="AI893" s="1" t="n"/>
      <c r="AJ893" s="1" t="n"/>
      <c r="AK893" s="1" t="n"/>
      <c r="AL893" s="1" t="n"/>
    </row>
    <row r="894" ht="14.2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  <c r="AC894" s="1" t="n"/>
      <c r="AD894" s="1" t="n"/>
      <c r="AE894" s="1" t="n"/>
      <c r="AF894" s="1" t="n"/>
      <c r="AG894" s="1" t="n"/>
      <c r="AH894" s="1" t="n"/>
      <c r="AI894" s="1" t="n"/>
      <c r="AJ894" s="1" t="n"/>
      <c r="AK894" s="1" t="n"/>
      <c r="AL894" s="1" t="n"/>
    </row>
    <row r="895" ht="14.2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  <c r="AC895" s="1" t="n"/>
      <c r="AD895" s="1" t="n"/>
      <c r="AE895" s="1" t="n"/>
      <c r="AF895" s="1" t="n"/>
      <c r="AG895" s="1" t="n"/>
      <c r="AH895" s="1" t="n"/>
      <c r="AI895" s="1" t="n"/>
      <c r="AJ895" s="1" t="n"/>
      <c r="AK895" s="1" t="n"/>
      <c r="AL895" s="1" t="n"/>
    </row>
    <row r="896" ht="14.2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  <c r="AC896" s="1" t="n"/>
      <c r="AD896" s="1" t="n"/>
      <c r="AE896" s="1" t="n"/>
      <c r="AF896" s="1" t="n"/>
      <c r="AG896" s="1" t="n"/>
      <c r="AH896" s="1" t="n"/>
      <c r="AI896" s="1" t="n"/>
      <c r="AJ896" s="1" t="n"/>
      <c r="AK896" s="1" t="n"/>
      <c r="AL896" s="1" t="n"/>
    </row>
    <row r="897" ht="14.2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  <c r="AC897" s="1" t="n"/>
      <c r="AD897" s="1" t="n"/>
      <c r="AE897" s="1" t="n"/>
      <c r="AF897" s="1" t="n"/>
      <c r="AG897" s="1" t="n"/>
      <c r="AH897" s="1" t="n"/>
      <c r="AI897" s="1" t="n"/>
      <c r="AJ897" s="1" t="n"/>
      <c r="AK897" s="1" t="n"/>
      <c r="AL897" s="1" t="n"/>
    </row>
    <row r="898" ht="14.2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  <c r="AC898" s="1" t="n"/>
      <c r="AD898" s="1" t="n"/>
      <c r="AE898" s="1" t="n"/>
      <c r="AF898" s="1" t="n"/>
      <c r="AG898" s="1" t="n"/>
      <c r="AH898" s="1" t="n"/>
      <c r="AI898" s="1" t="n"/>
      <c r="AJ898" s="1" t="n"/>
      <c r="AK898" s="1" t="n"/>
      <c r="AL898" s="1" t="n"/>
    </row>
    <row r="899" ht="14.2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  <c r="AC899" s="1" t="n"/>
      <c r="AD899" s="1" t="n"/>
      <c r="AE899" s="1" t="n"/>
      <c r="AF899" s="1" t="n"/>
      <c r="AG899" s="1" t="n"/>
      <c r="AH899" s="1" t="n"/>
      <c r="AI899" s="1" t="n"/>
      <c r="AJ899" s="1" t="n"/>
      <c r="AK899" s="1" t="n"/>
      <c r="AL899" s="1" t="n"/>
    </row>
    <row r="900" ht="14.2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  <c r="AC900" s="1" t="n"/>
      <c r="AD900" s="1" t="n"/>
      <c r="AE900" s="1" t="n"/>
      <c r="AF900" s="1" t="n"/>
      <c r="AG900" s="1" t="n"/>
      <c r="AH900" s="1" t="n"/>
      <c r="AI900" s="1" t="n"/>
      <c r="AJ900" s="1" t="n"/>
      <c r="AK900" s="1" t="n"/>
      <c r="AL900" s="1" t="n"/>
    </row>
    <row r="901" ht="14.2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  <c r="AC901" s="1" t="n"/>
      <c r="AD901" s="1" t="n"/>
      <c r="AE901" s="1" t="n"/>
      <c r="AF901" s="1" t="n"/>
      <c r="AG901" s="1" t="n"/>
      <c r="AH901" s="1" t="n"/>
      <c r="AI901" s="1" t="n"/>
      <c r="AJ901" s="1" t="n"/>
      <c r="AK901" s="1" t="n"/>
      <c r="AL901" s="1" t="n"/>
    </row>
    <row r="902" ht="14.2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  <c r="AC902" s="1" t="n"/>
      <c r="AD902" s="1" t="n"/>
      <c r="AE902" s="1" t="n"/>
      <c r="AF902" s="1" t="n"/>
      <c r="AG902" s="1" t="n"/>
      <c r="AH902" s="1" t="n"/>
      <c r="AI902" s="1" t="n"/>
      <c r="AJ902" s="1" t="n"/>
      <c r="AK902" s="1" t="n"/>
      <c r="AL902" s="1" t="n"/>
    </row>
    <row r="903" ht="14.2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  <c r="AC903" s="1" t="n"/>
      <c r="AD903" s="1" t="n"/>
      <c r="AE903" s="1" t="n"/>
      <c r="AF903" s="1" t="n"/>
      <c r="AG903" s="1" t="n"/>
      <c r="AH903" s="1" t="n"/>
      <c r="AI903" s="1" t="n"/>
      <c r="AJ903" s="1" t="n"/>
      <c r="AK903" s="1" t="n"/>
      <c r="AL903" s="1" t="n"/>
    </row>
    <row r="904" ht="14.2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  <c r="AC904" s="1" t="n"/>
      <c r="AD904" s="1" t="n"/>
      <c r="AE904" s="1" t="n"/>
      <c r="AF904" s="1" t="n"/>
      <c r="AG904" s="1" t="n"/>
      <c r="AH904" s="1" t="n"/>
      <c r="AI904" s="1" t="n"/>
      <c r="AJ904" s="1" t="n"/>
      <c r="AK904" s="1" t="n"/>
      <c r="AL904" s="1" t="n"/>
    </row>
    <row r="905" ht="14.2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  <c r="AC905" s="1" t="n"/>
      <c r="AD905" s="1" t="n"/>
      <c r="AE905" s="1" t="n"/>
      <c r="AF905" s="1" t="n"/>
      <c r="AG905" s="1" t="n"/>
      <c r="AH905" s="1" t="n"/>
      <c r="AI905" s="1" t="n"/>
      <c r="AJ905" s="1" t="n"/>
      <c r="AK905" s="1" t="n"/>
      <c r="AL905" s="1" t="n"/>
    </row>
    <row r="906" ht="14.2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  <c r="AC906" s="1" t="n"/>
      <c r="AD906" s="1" t="n"/>
      <c r="AE906" s="1" t="n"/>
      <c r="AF906" s="1" t="n"/>
      <c r="AG906" s="1" t="n"/>
      <c r="AH906" s="1" t="n"/>
      <c r="AI906" s="1" t="n"/>
      <c r="AJ906" s="1" t="n"/>
      <c r="AK906" s="1" t="n"/>
      <c r="AL906" s="1" t="n"/>
    </row>
    <row r="907" ht="14.2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  <c r="AC907" s="1" t="n"/>
      <c r="AD907" s="1" t="n"/>
      <c r="AE907" s="1" t="n"/>
      <c r="AF907" s="1" t="n"/>
      <c r="AG907" s="1" t="n"/>
      <c r="AH907" s="1" t="n"/>
      <c r="AI907" s="1" t="n"/>
      <c r="AJ907" s="1" t="n"/>
      <c r="AK907" s="1" t="n"/>
      <c r="AL907" s="1" t="n"/>
    </row>
    <row r="908" ht="14.2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  <c r="AC908" s="1" t="n"/>
      <c r="AD908" s="1" t="n"/>
      <c r="AE908" s="1" t="n"/>
      <c r="AF908" s="1" t="n"/>
      <c r="AG908" s="1" t="n"/>
      <c r="AH908" s="1" t="n"/>
      <c r="AI908" s="1" t="n"/>
      <c r="AJ908" s="1" t="n"/>
      <c r="AK908" s="1" t="n"/>
      <c r="AL908" s="1" t="n"/>
    </row>
    <row r="909" ht="14.2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  <c r="AC909" s="1" t="n"/>
      <c r="AD909" s="1" t="n"/>
      <c r="AE909" s="1" t="n"/>
      <c r="AF909" s="1" t="n"/>
      <c r="AG909" s="1" t="n"/>
      <c r="AH909" s="1" t="n"/>
      <c r="AI909" s="1" t="n"/>
      <c r="AJ909" s="1" t="n"/>
      <c r="AK909" s="1" t="n"/>
      <c r="AL909" s="1" t="n"/>
    </row>
    <row r="910" ht="14.2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  <c r="AC910" s="1" t="n"/>
      <c r="AD910" s="1" t="n"/>
      <c r="AE910" s="1" t="n"/>
      <c r="AF910" s="1" t="n"/>
      <c r="AG910" s="1" t="n"/>
      <c r="AH910" s="1" t="n"/>
      <c r="AI910" s="1" t="n"/>
      <c r="AJ910" s="1" t="n"/>
      <c r="AK910" s="1" t="n"/>
      <c r="AL910" s="1" t="n"/>
    </row>
    <row r="911" ht="14.2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  <c r="AC911" s="1" t="n"/>
      <c r="AD911" s="1" t="n"/>
      <c r="AE911" s="1" t="n"/>
      <c r="AF911" s="1" t="n"/>
      <c r="AG911" s="1" t="n"/>
      <c r="AH911" s="1" t="n"/>
      <c r="AI911" s="1" t="n"/>
      <c r="AJ911" s="1" t="n"/>
      <c r="AK911" s="1" t="n"/>
      <c r="AL911" s="1" t="n"/>
    </row>
    <row r="912" ht="14.2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  <c r="AC912" s="1" t="n"/>
      <c r="AD912" s="1" t="n"/>
      <c r="AE912" s="1" t="n"/>
      <c r="AF912" s="1" t="n"/>
      <c r="AG912" s="1" t="n"/>
      <c r="AH912" s="1" t="n"/>
      <c r="AI912" s="1" t="n"/>
      <c r="AJ912" s="1" t="n"/>
      <c r="AK912" s="1" t="n"/>
      <c r="AL912" s="1" t="n"/>
    </row>
    <row r="913" ht="14.2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  <c r="AC913" s="1" t="n"/>
      <c r="AD913" s="1" t="n"/>
      <c r="AE913" s="1" t="n"/>
      <c r="AF913" s="1" t="n"/>
      <c r="AG913" s="1" t="n"/>
      <c r="AH913" s="1" t="n"/>
      <c r="AI913" s="1" t="n"/>
      <c r="AJ913" s="1" t="n"/>
      <c r="AK913" s="1" t="n"/>
      <c r="AL913" s="1" t="n"/>
    </row>
    <row r="914" ht="14.2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  <c r="AC914" s="1" t="n"/>
      <c r="AD914" s="1" t="n"/>
      <c r="AE914" s="1" t="n"/>
      <c r="AF914" s="1" t="n"/>
      <c r="AG914" s="1" t="n"/>
      <c r="AH914" s="1" t="n"/>
      <c r="AI914" s="1" t="n"/>
      <c r="AJ914" s="1" t="n"/>
      <c r="AK914" s="1" t="n"/>
      <c r="AL914" s="1" t="n"/>
    </row>
    <row r="915" ht="14.2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  <c r="AC915" s="1" t="n"/>
      <c r="AD915" s="1" t="n"/>
      <c r="AE915" s="1" t="n"/>
      <c r="AF915" s="1" t="n"/>
      <c r="AG915" s="1" t="n"/>
      <c r="AH915" s="1" t="n"/>
      <c r="AI915" s="1" t="n"/>
      <c r="AJ915" s="1" t="n"/>
      <c r="AK915" s="1" t="n"/>
      <c r="AL915" s="1" t="n"/>
    </row>
    <row r="916" ht="14.2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  <c r="AC916" s="1" t="n"/>
      <c r="AD916" s="1" t="n"/>
      <c r="AE916" s="1" t="n"/>
      <c r="AF916" s="1" t="n"/>
      <c r="AG916" s="1" t="n"/>
      <c r="AH916" s="1" t="n"/>
      <c r="AI916" s="1" t="n"/>
      <c r="AJ916" s="1" t="n"/>
      <c r="AK916" s="1" t="n"/>
      <c r="AL916" s="1" t="n"/>
    </row>
    <row r="917" ht="14.2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  <c r="AC917" s="1" t="n"/>
      <c r="AD917" s="1" t="n"/>
      <c r="AE917" s="1" t="n"/>
      <c r="AF917" s="1" t="n"/>
      <c r="AG917" s="1" t="n"/>
      <c r="AH917" s="1" t="n"/>
      <c r="AI917" s="1" t="n"/>
      <c r="AJ917" s="1" t="n"/>
      <c r="AK917" s="1" t="n"/>
      <c r="AL917" s="1" t="n"/>
    </row>
    <row r="918" ht="14.2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  <c r="AC918" s="1" t="n"/>
      <c r="AD918" s="1" t="n"/>
      <c r="AE918" s="1" t="n"/>
      <c r="AF918" s="1" t="n"/>
      <c r="AG918" s="1" t="n"/>
      <c r="AH918" s="1" t="n"/>
      <c r="AI918" s="1" t="n"/>
      <c r="AJ918" s="1" t="n"/>
      <c r="AK918" s="1" t="n"/>
      <c r="AL918" s="1" t="n"/>
    </row>
    <row r="919" ht="14.2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  <c r="AC919" s="1" t="n"/>
      <c r="AD919" s="1" t="n"/>
      <c r="AE919" s="1" t="n"/>
      <c r="AF919" s="1" t="n"/>
      <c r="AG919" s="1" t="n"/>
      <c r="AH919" s="1" t="n"/>
      <c r="AI919" s="1" t="n"/>
      <c r="AJ919" s="1" t="n"/>
      <c r="AK919" s="1" t="n"/>
      <c r="AL919" s="1" t="n"/>
    </row>
    <row r="920" ht="14.2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  <c r="AC920" s="1" t="n"/>
      <c r="AD920" s="1" t="n"/>
      <c r="AE920" s="1" t="n"/>
      <c r="AF920" s="1" t="n"/>
      <c r="AG920" s="1" t="n"/>
      <c r="AH920" s="1" t="n"/>
      <c r="AI920" s="1" t="n"/>
      <c r="AJ920" s="1" t="n"/>
      <c r="AK920" s="1" t="n"/>
      <c r="AL920" s="1" t="n"/>
    </row>
    <row r="921" ht="14.2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  <c r="AC921" s="1" t="n"/>
      <c r="AD921" s="1" t="n"/>
      <c r="AE921" s="1" t="n"/>
      <c r="AF921" s="1" t="n"/>
      <c r="AG921" s="1" t="n"/>
      <c r="AH921" s="1" t="n"/>
      <c r="AI921" s="1" t="n"/>
      <c r="AJ921" s="1" t="n"/>
      <c r="AK921" s="1" t="n"/>
      <c r="AL921" s="1" t="n"/>
    </row>
    <row r="922" ht="14.2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  <c r="AC922" s="1" t="n"/>
      <c r="AD922" s="1" t="n"/>
      <c r="AE922" s="1" t="n"/>
      <c r="AF922" s="1" t="n"/>
      <c r="AG922" s="1" t="n"/>
      <c r="AH922" s="1" t="n"/>
      <c r="AI922" s="1" t="n"/>
      <c r="AJ922" s="1" t="n"/>
      <c r="AK922" s="1" t="n"/>
      <c r="AL922" s="1" t="n"/>
    </row>
    <row r="923" ht="14.2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  <c r="AC923" s="1" t="n"/>
      <c r="AD923" s="1" t="n"/>
      <c r="AE923" s="1" t="n"/>
      <c r="AF923" s="1" t="n"/>
      <c r="AG923" s="1" t="n"/>
      <c r="AH923" s="1" t="n"/>
      <c r="AI923" s="1" t="n"/>
      <c r="AJ923" s="1" t="n"/>
      <c r="AK923" s="1" t="n"/>
      <c r="AL923" s="1" t="n"/>
    </row>
    <row r="924" ht="14.2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  <c r="AC924" s="1" t="n"/>
      <c r="AD924" s="1" t="n"/>
      <c r="AE924" s="1" t="n"/>
      <c r="AF924" s="1" t="n"/>
      <c r="AG924" s="1" t="n"/>
      <c r="AH924" s="1" t="n"/>
      <c r="AI924" s="1" t="n"/>
      <c r="AJ924" s="1" t="n"/>
      <c r="AK924" s="1" t="n"/>
      <c r="AL924" s="1" t="n"/>
    </row>
    <row r="925" ht="14.2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  <c r="AC925" s="1" t="n"/>
      <c r="AD925" s="1" t="n"/>
      <c r="AE925" s="1" t="n"/>
      <c r="AF925" s="1" t="n"/>
      <c r="AG925" s="1" t="n"/>
      <c r="AH925" s="1" t="n"/>
      <c r="AI925" s="1" t="n"/>
      <c r="AJ925" s="1" t="n"/>
      <c r="AK925" s="1" t="n"/>
      <c r="AL925" s="1" t="n"/>
    </row>
    <row r="926" ht="14.2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  <c r="AC926" s="1" t="n"/>
      <c r="AD926" s="1" t="n"/>
      <c r="AE926" s="1" t="n"/>
      <c r="AF926" s="1" t="n"/>
      <c r="AG926" s="1" t="n"/>
      <c r="AH926" s="1" t="n"/>
      <c r="AI926" s="1" t="n"/>
      <c r="AJ926" s="1" t="n"/>
      <c r="AK926" s="1" t="n"/>
      <c r="AL926" s="1" t="n"/>
    </row>
    <row r="927" ht="14.2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  <c r="AC927" s="1" t="n"/>
      <c r="AD927" s="1" t="n"/>
      <c r="AE927" s="1" t="n"/>
      <c r="AF927" s="1" t="n"/>
      <c r="AG927" s="1" t="n"/>
      <c r="AH927" s="1" t="n"/>
      <c r="AI927" s="1" t="n"/>
      <c r="AJ927" s="1" t="n"/>
      <c r="AK927" s="1" t="n"/>
      <c r="AL927" s="1" t="n"/>
    </row>
    <row r="928" ht="14.2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  <c r="AC928" s="1" t="n"/>
      <c r="AD928" s="1" t="n"/>
      <c r="AE928" s="1" t="n"/>
      <c r="AF928" s="1" t="n"/>
      <c r="AG928" s="1" t="n"/>
      <c r="AH928" s="1" t="n"/>
      <c r="AI928" s="1" t="n"/>
      <c r="AJ928" s="1" t="n"/>
      <c r="AK928" s="1" t="n"/>
      <c r="AL928" s="1" t="n"/>
    </row>
    <row r="929" ht="14.2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  <c r="AC929" s="1" t="n"/>
      <c r="AD929" s="1" t="n"/>
      <c r="AE929" s="1" t="n"/>
      <c r="AF929" s="1" t="n"/>
      <c r="AG929" s="1" t="n"/>
      <c r="AH929" s="1" t="n"/>
      <c r="AI929" s="1" t="n"/>
      <c r="AJ929" s="1" t="n"/>
      <c r="AK929" s="1" t="n"/>
      <c r="AL929" s="1" t="n"/>
    </row>
    <row r="930" ht="14.2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  <c r="AC930" s="1" t="n"/>
      <c r="AD930" s="1" t="n"/>
      <c r="AE930" s="1" t="n"/>
      <c r="AF930" s="1" t="n"/>
      <c r="AG930" s="1" t="n"/>
      <c r="AH930" s="1" t="n"/>
      <c r="AI930" s="1" t="n"/>
      <c r="AJ930" s="1" t="n"/>
      <c r="AK930" s="1" t="n"/>
      <c r="AL930" s="1" t="n"/>
    </row>
    <row r="931" ht="14.2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  <c r="AC931" s="1" t="n"/>
      <c r="AD931" s="1" t="n"/>
      <c r="AE931" s="1" t="n"/>
      <c r="AF931" s="1" t="n"/>
      <c r="AG931" s="1" t="n"/>
      <c r="AH931" s="1" t="n"/>
      <c r="AI931" s="1" t="n"/>
      <c r="AJ931" s="1" t="n"/>
      <c r="AK931" s="1" t="n"/>
      <c r="AL931" s="1" t="n"/>
    </row>
    <row r="932" ht="14.2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  <c r="AC932" s="1" t="n"/>
      <c r="AD932" s="1" t="n"/>
      <c r="AE932" s="1" t="n"/>
      <c r="AF932" s="1" t="n"/>
      <c r="AG932" s="1" t="n"/>
      <c r="AH932" s="1" t="n"/>
      <c r="AI932" s="1" t="n"/>
      <c r="AJ932" s="1" t="n"/>
      <c r="AK932" s="1" t="n"/>
      <c r="AL932" s="1" t="n"/>
    </row>
    <row r="933" ht="14.2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  <c r="AC933" s="1" t="n"/>
      <c r="AD933" s="1" t="n"/>
      <c r="AE933" s="1" t="n"/>
      <c r="AF933" s="1" t="n"/>
      <c r="AG933" s="1" t="n"/>
      <c r="AH933" s="1" t="n"/>
      <c r="AI933" s="1" t="n"/>
      <c r="AJ933" s="1" t="n"/>
      <c r="AK933" s="1" t="n"/>
      <c r="AL933" s="1" t="n"/>
    </row>
    <row r="934" ht="14.2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  <c r="AC934" s="1" t="n"/>
      <c r="AD934" s="1" t="n"/>
      <c r="AE934" s="1" t="n"/>
      <c r="AF934" s="1" t="n"/>
      <c r="AG934" s="1" t="n"/>
      <c r="AH934" s="1" t="n"/>
      <c r="AI934" s="1" t="n"/>
      <c r="AJ934" s="1" t="n"/>
      <c r="AK934" s="1" t="n"/>
      <c r="AL934" s="1" t="n"/>
    </row>
    <row r="935" ht="14.2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  <c r="AC935" s="1" t="n"/>
      <c r="AD935" s="1" t="n"/>
      <c r="AE935" s="1" t="n"/>
      <c r="AF935" s="1" t="n"/>
      <c r="AG935" s="1" t="n"/>
      <c r="AH935" s="1" t="n"/>
      <c r="AI935" s="1" t="n"/>
      <c r="AJ935" s="1" t="n"/>
      <c r="AK935" s="1" t="n"/>
      <c r="AL935" s="1" t="n"/>
    </row>
    <row r="936" ht="14.2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  <c r="AC936" s="1" t="n"/>
      <c r="AD936" s="1" t="n"/>
      <c r="AE936" s="1" t="n"/>
      <c r="AF936" s="1" t="n"/>
      <c r="AG936" s="1" t="n"/>
      <c r="AH936" s="1" t="n"/>
      <c r="AI936" s="1" t="n"/>
      <c r="AJ936" s="1" t="n"/>
      <c r="AK936" s="1" t="n"/>
      <c r="AL936" s="1" t="n"/>
    </row>
    <row r="937" ht="14.2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  <c r="AC937" s="1" t="n"/>
      <c r="AD937" s="1" t="n"/>
      <c r="AE937" s="1" t="n"/>
      <c r="AF937" s="1" t="n"/>
      <c r="AG937" s="1" t="n"/>
      <c r="AH937" s="1" t="n"/>
      <c r="AI937" s="1" t="n"/>
      <c r="AJ937" s="1" t="n"/>
      <c r="AK937" s="1" t="n"/>
      <c r="AL937" s="1" t="n"/>
    </row>
    <row r="938" ht="14.2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  <c r="AC938" s="1" t="n"/>
      <c r="AD938" s="1" t="n"/>
      <c r="AE938" s="1" t="n"/>
      <c r="AF938" s="1" t="n"/>
      <c r="AG938" s="1" t="n"/>
      <c r="AH938" s="1" t="n"/>
      <c r="AI938" s="1" t="n"/>
      <c r="AJ938" s="1" t="n"/>
      <c r="AK938" s="1" t="n"/>
      <c r="AL938" s="1" t="n"/>
    </row>
    <row r="939" ht="14.2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  <c r="AC939" s="1" t="n"/>
      <c r="AD939" s="1" t="n"/>
      <c r="AE939" s="1" t="n"/>
      <c r="AF939" s="1" t="n"/>
      <c r="AG939" s="1" t="n"/>
      <c r="AH939" s="1" t="n"/>
      <c r="AI939" s="1" t="n"/>
      <c r="AJ939" s="1" t="n"/>
      <c r="AK939" s="1" t="n"/>
      <c r="AL939" s="1" t="n"/>
    </row>
    <row r="940" ht="14.2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  <c r="AC940" s="1" t="n"/>
      <c r="AD940" s="1" t="n"/>
      <c r="AE940" s="1" t="n"/>
      <c r="AF940" s="1" t="n"/>
      <c r="AG940" s="1" t="n"/>
      <c r="AH940" s="1" t="n"/>
      <c r="AI940" s="1" t="n"/>
      <c r="AJ940" s="1" t="n"/>
      <c r="AK940" s="1" t="n"/>
      <c r="AL940" s="1" t="n"/>
    </row>
    <row r="941" ht="14.2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  <c r="AC941" s="1" t="n"/>
      <c r="AD941" s="1" t="n"/>
      <c r="AE941" s="1" t="n"/>
      <c r="AF941" s="1" t="n"/>
      <c r="AG941" s="1" t="n"/>
      <c r="AH941" s="1" t="n"/>
      <c r="AI941" s="1" t="n"/>
      <c r="AJ941" s="1" t="n"/>
      <c r="AK941" s="1" t="n"/>
      <c r="AL941" s="1" t="n"/>
    </row>
    <row r="942" ht="14.2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  <c r="AC942" s="1" t="n"/>
      <c r="AD942" s="1" t="n"/>
      <c r="AE942" s="1" t="n"/>
      <c r="AF942" s="1" t="n"/>
      <c r="AG942" s="1" t="n"/>
      <c r="AH942" s="1" t="n"/>
      <c r="AI942" s="1" t="n"/>
      <c r="AJ942" s="1" t="n"/>
      <c r="AK942" s="1" t="n"/>
      <c r="AL942" s="1" t="n"/>
    </row>
    <row r="943" ht="14.2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  <c r="AC943" s="1" t="n"/>
      <c r="AD943" s="1" t="n"/>
      <c r="AE943" s="1" t="n"/>
      <c r="AF943" s="1" t="n"/>
      <c r="AG943" s="1" t="n"/>
      <c r="AH943" s="1" t="n"/>
      <c r="AI943" s="1" t="n"/>
      <c r="AJ943" s="1" t="n"/>
      <c r="AK943" s="1" t="n"/>
      <c r="AL943" s="1" t="n"/>
    </row>
    <row r="944" ht="14.2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  <c r="AC944" s="1" t="n"/>
      <c r="AD944" s="1" t="n"/>
      <c r="AE944" s="1" t="n"/>
      <c r="AF944" s="1" t="n"/>
      <c r="AG944" s="1" t="n"/>
      <c r="AH944" s="1" t="n"/>
      <c r="AI944" s="1" t="n"/>
      <c r="AJ944" s="1" t="n"/>
      <c r="AK944" s="1" t="n"/>
      <c r="AL944" s="1" t="n"/>
    </row>
    <row r="945" ht="14.2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  <c r="AC945" s="1" t="n"/>
      <c r="AD945" s="1" t="n"/>
      <c r="AE945" s="1" t="n"/>
      <c r="AF945" s="1" t="n"/>
      <c r="AG945" s="1" t="n"/>
      <c r="AH945" s="1" t="n"/>
      <c r="AI945" s="1" t="n"/>
      <c r="AJ945" s="1" t="n"/>
      <c r="AK945" s="1" t="n"/>
      <c r="AL945" s="1" t="n"/>
    </row>
    <row r="946" ht="14.2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  <c r="AC946" s="1" t="n"/>
      <c r="AD946" s="1" t="n"/>
      <c r="AE946" s="1" t="n"/>
      <c r="AF946" s="1" t="n"/>
      <c r="AG946" s="1" t="n"/>
      <c r="AH946" s="1" t="n"/>
      <c r="AI946" s="1" t="n"/>
      <c r="AJ946" s="1" t="n"/>
      <c r="AK946" s="1" t="n"/>
      <c r="AL946" s="1" t="n"/>
    </row>
    <row r="947" ht="14.2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  <c r="AC947" s="1" t="n"/>
      <c r="AD947" s="1" t="n"/>
      <c r="AE947" s="1" t="n"/>
      <c r="AF947" s="1" t="n"/>
      <c r="AG947" s="1" t="n"/>
      <c r="AH947" s="1" t="n"/>
      <c r="AI947" s="1" t="n"/>
      <c r="AJ947" s="1" t="n"/>
      <c r="AK947" s="1" t="n"/>
      <c r="AL947" s="1" t="n"/>
    </row>
    <row r="948" ht="14.2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  <c r="AC948" s="1" t="n"/>
      <c r="AD948" s="1" t="n"/>
      <c r="AE948" s="1" t="n"/>
      <c r="AF948" s="1" t="n"/>
      <c r="AG948" s="1" t="n"/>
      <c r="AH948" s="1" t="n"/>
      <c r="AI948" s="1" t="n"/>
      <c r="AJ948" s="1" t="n"/>
      <c r="AK948" s="1" t="n"/>
      <c r="AL948" s="1" t="n"/>
    </row>
    <row r="949" ht="14.2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  <c r="AC949" s="1" t="n"/>
      <c r="AD949" s="1" t="n"/>
      <c r="AE949" s="1" t="n"/>
      <c r="AF949" s="1" t="n"/>
      <c r="AG949" s="1" t="n"/>
      <c r="AH949" s="1" t="n"/>
      <c r="AI949" s="1" t="n"/>
      <c r="AJ949" s="1" t="n"/>
      <c r="AK949" s="1" t="n"/>
      <c r="AL949" s="1" t="n"/>
    </row>
    <row r="950" ht="14.2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  <c r="AC950" s="1" t="n"/>
      <c r="AD950" s="1" t="n"/>
      <c r="AE950" s="1" t="n"/>
      <c r="AF950" s="1" t="n"/>
      <c r="AG950" s="1" t="n"/>
      <c r="AH950" s="1" t="n"/>
      <c r="AI950" s="1" t="n"/>
      <c r="AJ950" s="1" t="n"/>
      <c r="AK950" s="1" t="n"/>
      <c r="AL950" s="1" t="n"/>
    </row>
    <row r="951" ht="14.2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  <c r="AC951" s="1" t="n"/>
      <c r="AD951" s="1" t="n"/>
      <c r="AE951" s="1" t="n"/>
      <c r="AF951" s="1" t="n"/>
      <c r="AG951" s="1" t="n"/>
      <c r="AH951" s="1" t="n"/>
      <c r="AI951" s="1" t="n"/>
      <c r="AJ951" s="1" t="n"/>
      <c r="AK951" s="1" t="n"/>
      <c r="AL951" s="1" t="n"/>
    </row>
    <row r="952" ht="14.2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  <c r="AC952" s="1" t="n"/>
      <c r="AD952" s="1" t="n"/>
      <c r="AE952" s="1" t="n"/>
      <c r="AF952" s="1" t="n"/>
      <c r="AG952" s="1" t="n"/>
      <c r="AH952" s="1" t="n"/>
      <c r="AI952" s="1" t="n"/>
      <c r="AJ952" s="1" t="n"/>
      <c r="AK952" s="1" t="n"/>
      <c r="AL952" s="1" t="n"/>
    </row>
    <row r="953" ht="14.2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  <c r="AC953" s="1" t="n"/>
      <c r="AD953" s="1" t="n"/>
      <c r="AE953" s="1" t="n"/>
      <c r="AF953" s="1" t="n"/>
      <c r="AG953" s="1" t="n"/>
      <c r="AH953" s="1" t="n"/>
      <c r="AI953" s="1" t="n"/>
      <c r="AJ953" s="1" t="n"/>
      <c r="AK953" s="1" t="n"/>
      <c r="AL953" s="1" t="n"/>
    </row>
    <row r="954" ht="14.2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  <c r="AC954" s="1" t="n"/>
      <c r="AD954" s="1" t="n"/>
      <c r="AE954" s="1" t="n"/>
      <c r="AF954" s="1" t="n"/>
      <c r="AG954" s="1" t="n"/>
      <c r="AH954" s="1" t="n"/>
      <c r="AI954" s="1" t="n"/>
      <c r="AJ954" s="1" t="n"/>
      <c r="AK954" s="1" t="n"/>
      <c r="AL954" s="1" t="n"/>
    </row>
    <row r="955" ht="14.2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  <c r="AC955" s="1" t="n"/>
      <c r="AD955" s="1" t="n"/>
      <c r="AE955" s="1" t="n"/>
      <c r="AF955" s="1" t="n"/>
      <c r="AG955" s="1" t="n"/>
      <c r="AH955" s="1" t="n"/>
      <c r="AI955" s="1" t="n"/>
      <c r="AJ955" s="1" t="n"/>
      <c r="AK955" s="1" t="n"/>
      <c r="AL955" s="1" t="n"/>
    </row>
    <row r="956" ht="14.2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  <c r="AC956" s="1" t="n"/>
      <c r="AD956" s="1" t="n"/>
      <c r="AE956" s="1" t="n"/>
      <c r="AF956" s="1" t="n"/>
      <c r="AG956" s="1" t="n"/>
      <c r="AH956" s="1" t="n"/>
      <c r="AI956" s="1" t="n"/>
      <c r="AJ956" s="1" t="n"/>
      <c r="AK956" s="1" t="n"/>
      <c r="AL956" s="1" t="n"/>
    </row>
    <row r="957" ht="14.2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  <c r="AC957" s="1" t="n"/>
      <c r="AD957" s="1" t="n"/>
      <c r="AE957" s="1" t="n"/>
      <c r="AF957" s="1" t="n"/>
      <c r="AG957" s="1" t="n"/>
      <c r="AH957" s="1" t="n"/>
      <c r="AI957" s="1" t="n"/>
      <c r="AJ957" s="1" t="n"/>
      <c r="AK957" s="1" t="n"/>
      <c r="AL957" s="1" t="n"/>
    </row>
    <row r="958" ht="14.2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  <c r="AC958" s="1" t="n"/>
      <c r="AD958" s="1" t="n"/>
      <c r="AE958" s="1" t="n"/>
      <c r="AF958" s="1" t="n"/>
      <c r="AG958" s="1" t="n"/>
      <c r="AH958" s="1" t="n"/>
      <c r="AI958" s="1" t="n"/>
      <c r="AJ958" s="1" t="n"/>
      <c r="AK958" s="1" t="n"/>
      <c r="AL958" s="1" t="n"/>
    </row>
    <row r="959" ht="14.2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  <c r="AC959" s="1" t="n"/>
      <c r="AD959" s="1" t="n"/>
      <c r="AE959" s="1" t="n"/>
      <c r="AF959" s="1" t="n"/>
      <c r="AG959" s="1" t="n"/>
      <c r="AH959" s="1" t="n"/>
      <c r="AI959" s="1" t="n"/>
      <c r="AJ959" s="1" t="n"/>
      <c r="AK959" s="1" t="n"/>
      <c r="AL959" s="1" t="n"/>
    </row>
    <row r="960" ht="14.2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  <c r="AC960" s="1" t="n"/>
      <c r="AD960" s="1" t="n"/>
      <c r="AE960" s="1" t="n"/>
      <c r="AF960" s="1" t="n"/>
      <c r="AG960" s="1" t="n"/>
      <c r="AH960" s="1" t="n"/>
      <c r="AI960" s="1" t="n"/>
      <c r="AJ960" s="1" t="n"/>
      <c r="AK960" s="1" t="n"/>
      <c r="AL960" s="1" t="n"/>
    </row>
    <row r="961" ht="14.2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  <c r="AC961" s="1" t="n"/>
      <c r="AD961" s="1" t="n"/>
      <c r="AE961" s="1" t="n"/>
      <c r="AF961" s="1" t="n"/>
      <c r="AG961" s="1" t="n"/>
      <c r="AH961" s="1" t="n"/>
      <c r="AI961" s="1" t="n"/>
      <c r="AJ961" s="1" t="n"/>
      <c r="AK961" s="1" t="n"/>
      <c r="AL961" s="1" t="n"/>
    </row>
    <row r="962" ht="14.2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  <c r="AC962" s="1" t="n"/>
      <c r="AD962" s="1" t="n"/>
      <c r="AE962" s="1" t="n"/>
      <c r="AF962" s="1" t="n"/>
      <c r="AG962" s="1" t="n"/>
      <c r="AH962" s="1" t="n"/>
      <c r="AI962" s="1" t="n"/>
      <c r="AJ962" s="1" t="n"/>
      <c r="AK962" s="1" t="n"/>
      <c r="AL962" s="1" t="n"/>
    </row>
    <row r="963" ht="14.2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  <c r="AC963" s="1" t="n"/>
      <c r="AD963" s="1" t="n"/>
      <c r="AE963" s="1" t="n"/>
      <c r="AF963" s="1" t="n"/>
      <c r="AG963" s="1" t="n"/>
      <c r="AH963" s="1" t="n"/>
      <c r="AI963" s="1" t="n"/>
      <c r="AJ963" s="1" t="n"/>
      <c r="AK963" s="1" t="n"/>
      <c r="AL963" s="1" t="n"/>
    </row>
    <row r="964" ht="14.2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  <c r="AC964" s="1" t="n"/>
      <c r="AD964" s="1" t="n"/>
      <c r="AE964" s="1" t="n"/>
      <c r="AF964" s="1" t="n"/>
      <c r="AG964" s="1" t="n"/>
      <c r="AH964" s="1" t="n"/>
      <c r="AI964" s="1" t="n"/>
      <c r="AJ964" s="1" t="n"/>
      <c r="AK964" s="1" t="n"/>
      <c r="AL964" s="1" t="n"/>
    </row>
    <row r="965" ht="14.2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  <c r="AC965" s="1" t="n"/>
      <c r="AD965" s="1" t="n"/>
      <c r="AE965" s="1" t="n"/>
      <c r="AF965" s="1" t="n"/>
      <c r="AG965" s="1" t="n"/>
      <c r="AH965" s="1" t="n"/>
      <c r="AI965" s="1" t="n"/>
      <c r="AJ965" s="1" t="n"/>
      <c r="AK965" s="1" t="n"/>
      <c r="AL965" s="1" t="n"/>
    </row>
    <row r="966" ht="14.2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  <c r="AC966" s="1" t="n"/>
      <c r="AD966" s="1" t="n"/>
      <c r="AE966" s="1" t="n"/>
      <c r="AF966" s="1" t="n"/>
      <c r="AG966" s="1" t="n"/>
      <c r="AH966" s="1" t="n"/>
      <c r="AI966" s="1" t="n"/>
      <c r="AJ966" s="1" t="n"/>
      <c r="AK966" s="1" t="n"/>
      <c r="AL966" s="1" t="n"/>
    </row>
    <row r="967" ht="14.2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  <c r="AC967" s="1" t="n"/>
      <c r="AD967" s="1" t="n"/>
      <c r="AE967" s="1" t="n"/>
      <c r="AF967" s="1" t="n"/>
      <c r="AG967" s="1" t="n"/>
      <c r="AH967" s="1" t="n"/>
      <c r="AI967" s="1" t="n"/>
      <c r="AJ967" s="1" t="n"/>
      <c r="AK967" s="1" t="n"/>
      <c r="AL967" s="1" t="n"/>
    </row>
    <row r="968" ht="14.2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  <c r="AC968" s="1" t="n"/>
      <c r="AD968" s="1" t="n"/>
      <c r="AE968" s="1" t="n"/>
      <c r="AF968" s="1" t="n"/>
      <c r="AG968" s="1" t="n"/>
      <c r="AH968" s="1" t="n"/>
      <c r="AI968" s="1" t="n"/>
      <c r="AJ968" s="1" t="n"/>
      <c r="AK968" s="1" t="n"/>
      <c r="AL968" s="1" t="n"/>
    </row>
    <row r="969" ht="14.2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  <c r="AC969" s="1" t="n"/>
      <c r="AD969" s="1" t="n"/>
      <c r="AE969" s="1" t="n"/>
      <c r="AF969" s="1" t="n"/>
      <c r="AG969" s="1" t="n"/>
      <c r="AH969" s="1" t="n"/>
      <c r="AI969" s="1" t="n"/>
      <c r="AJ969" s="1" t="n"/>
      <c r="AK969" s="1" t="n"/>
      <c r="AL969" s="1" t="n"/>
    </row>
    <row r="970" ht="14.2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  <c r="AC970" s="1" t="n"/>
      <c r="AD970" s="1" t="n"/>
      <c r="AE970" s="1" t="n"/>
      <c r="AF970" s="1" t="n"/>
      <c r="AG970" s="1" t="n"/>
      <c r="AH970" s="1" t="n"/>
      <c r="AI970" s="1" t="n"/>
      <c r="AJ970" s="1" t="n"/>
      <c r="AK970" s="1" t="n"/>
      <c r="AL970" s="1" t="n"/>
    </row>
    <row r="971" ht="14.2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  <c r="AC971" s="1" t="n"/>
      <c r="AD971" s="1" t="n"/>
      <c r="AE971" s="1" t="n"/>
      <c r="AF971" s="1" t="n"/>
      <c r="AG971" s="1" t="n"/>
      <c r="AH971" s="1" t="n"/>
      <c r="AI971" s="1" t="n"/>
      <c r="AJ971" s="1" t="n"/>
      <c r="AK971" s="1" t="n"/>
      <c r="AL971" s="1" t="n"/>
    </row>
    <row r="972" ht="14.2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  <c r="AC972" s="1" t="n"/>
      <c r="AD972" s="1" t="n"/>
      <c r="AE972" s="1" t="n"/>
      <c r="AF972" s="1" t="n"/>
      <c r="AG972" s="1" t="n"/>
      <c r="AH972" s="1" t="n"/>
      <c r="AI972" s="1" t="n"/>
      <c r="AJ972" s="1" t="n"/>
      <c r="AK972" s="1" t="n"/>
      <c r="AL972" s="1" t="n"/>
    </row>
    <row r="973" ht="14.2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  <c r="AC973" s="1" t="n"/>
      <c r="AD973" s="1" t="n"/>
      <c r="AE973" s="1" t="n"/>
      <c r="AF973" s="1" t="n"/>
      <c r="AG973" s="1" t="n"/>
      <c r="AH973" s="1" t="n"/>
      <c r="AI973" s="1" t="n"/>
      <c r="AJ973" s="1" t="n"/>
      <c r="AK973" s="1" t="n"/>
      <c r="AL973" s="1" t="n"/>
    </row>
    <row r="974" ht="14.2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  <c r="AC974" s="1" t="n"/>
      <c r="AD974" s="1" t="n"/>
      <c r="AE974" s="1" t="n"/>
      <c r="AF974" s="1" t="n"/>
      <c r="AG974" s="1" t="n"/>
      <c r="AH974" s="1" t="n"/>
      <c r="AI974" s="1" t="n"/>
      <c r="AJ974" s="1" t="n"/>
      <c r="AK974" s="1" t="n"/>
      <c r="AL974" s="1" t="n"/>
    </row>
    <row r="975" ht="14.2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  <c r="AC975" s="1" t="n"/>
      <c r="AD975" s="1" t="n"/>
      <c r="AE975" s="1" t="n"/>
      <c r="AF975" s="1" t="n"/>
      <c r="AG975" s="1" t="n"/>
      <c r="AH975" s="1" t="n"/>
      <c r="AI975" s="1" t="n"/>
      <c r="AJ975" s="1" t="n"/>
      <c r="AK975" s="1" t="n"/>
      <c r="AL975" s="1" t="n"/>
    </row>
    <row r="976" ht="14.2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  <c r="AC976" s="1" t="n"/>
      <c r="AD976" s="1" t="n"/>
      <c r="AE976" s="1" t="n"/>
      <c r="AF976" s="1" t="n"/>
      <c r="AG976" s="1" t="n"/>
      <c r="AH976" s="1" t="n"/>
      <c r="AI976" s="1" t="n"/>
      <c r="AJ976" s="1" t="n"/>
      <c r="AK976" s="1" t="n"/>
      <c r="AL976" s="1" t="n"/>
    </row>
    <row r="977" ht="14.2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  <c r="AC977" s="1" t="n"/>
      <c r="AD977" s="1" t="n"/>
      <c r="AE977" s="1" t="n"/>
      <c r="AF977" s="1" t="n"/>
      <c r="AG977" s="1" t="n"/>
      <c r="AH977" s="1" t="n"/>
      <c r="AI977" s="1" t="n"/>
      <c r="AJ977" s="1" t="n"/>
      <c r="AK977" s="1" t="n"/>
      <c r="AL977" s="1" t="n"/>
    </row>
    <row r="978" ht="14.2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  <c r="AC978" s="1" t="n"/>
      <c r="AD978" s="1" t="n"/>
      <c r="AE978" s="1" t="n"/>
      <c r="AF978" s="1" t="n"/>
      <c r="AG978" s="1" t="n"/>
      <c r="AH978" s="1" t="n"/>
      <c r="AI978" s="1" t="n"/>
      <c r="AJ978" s="1" t="n"/>
      <c r="AK978" s="1" t="n"/>
      <c r="AL978" s="1" t="n"/>
    </row>
    <row r="979" ht="14.2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  <c r="AC979" s="1" t="n"/>
      <c r="AD979" s="1" t="n"/>
      <c r="AE979" s="1" t="n"/>
      <c r="AF979" s="1" t="n"/>
      <c r="AG979" s="1" t="n"/>
      <c r="AH979" s="1" t="n"/>
      <c r="AI979" s="1" t="n"/>
      <c r="AJ979" s="1" t="n"/>
      <c r="AK979" s="1" t="n"/>
      <c r="AL979" s="1" t="n"/>
    </row>
    <row r="980" ht="14.2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  <c r="AC980" s="1" t="n"/>
      <c r="AD980" s="1" t="n"/>
      <c r="AE980" s="1" t="n"/>
      <c r="AF980" s="1" t="n"/>
      <c r="AG980" s="1" t="n"/>
      <c r="AH980" s="1" t="n"/>
      <c r="AI980" s="1" t="n"/>
      <c r="AJ980" s="1" t="n"/>
      <c r="AK980" s="1" t="n"/>
      <c r="AL980" s="1" t="n"/>
    </row>
    <row r="981" ht="14.2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  <c r="AC981" s="1" t="n"/>
      <c r="AD981" s="1" t="n"/>
      <c r="AE981" s="1" t="n"/>
      <c r="AF981" s="1" t="n"/>
      <c r="AG981" s="1" t="n"/>
      <c r="AH981" s="1" t="n"/>
      <c r="AI981" s="1" t="n"/>
      <c r="AJ981" s="1" t="n"/>
      <c r="AK981" s="1" t="n"/>
      <c r="AL981" s="1" t="n"/>
    </row>
    <row r="982" ht="14.2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  <c r="AC982" s="1" t="n"/>
      <c r="AD982" s="1" t="n"/>
      <c r="AE982" s="1" t="n"/>
      <c r="AF982" s="1" t="n"/>
      <c r="AG982" s="1" t="n"/>
      <c r="AH982" s="1" t="n"/>
      <c r="AI982" s="1" t="n"/>
      <c r="AJ982" s="1" t="n"/>
      <c r="AK982" s="1" t="n"/>
      <c r="AL982" s="1" t="n"/>
    </row>
    <row r="983" ht="14.2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  <c r="AC983" s="1" t="n"/>
      <c r="AD983" s="1" t="n"/>
      <c r="AE983" s="1" t="n"/>
      <c r="AF983" s="1" t="n"/>
      <c r="AG983" s="1" t="n"/>
      <c r="AH983" s="1" t="n"/>
      <c r="AI983" s="1" t="n"/>
      <c r="AJ983" s="1" t="n"/>
      <c r="AK983" s="1" t="n"/>
      <c r="AL983" s="1" t="n"/>
    </row>
    <row r="984" ht="14.2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  <c r="AC984" s="1" t="n"/>
      <c r="AD984" s="1" t="n"/>
      <c r="AE984" s="1" t="n"/>
      <c r="AF984" s="1" t="n"/>
      <c r="AG984" s="1" t="n"/>
      <c r="AH984" s="1" t="n"/>
      <c r="AI984" s="1" t="n"/>
      <c r="AJ984" s="1" t="n"/>
      <c r="AK984" s="1" t="n"/>
      <c r="AL984" s="1" t="n"/>
    </row>
    <row r="985" ht="14.2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  <c r="AC985" s="1" t="n"/>
      <c r="AD985" s="1" t="n"/>
      <c r="AE985" s="1" t="n"/>
      <c r="AF985" s="1" t="n"/>
      <c r="AG985" s="1" t="n"/>
      <c r="AH985" s="1" t="n"/>
      <c r="AI985" s="1" t="n"/>
      <c r="AJ985" s="1" t="n"/>
      <c r="AK985" s="1" t="n"/>
      <c r="AL985" s="1" t="n"/>
    </row>
    <row r="986" ht="14.2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  <c r="AC986" s="1" t="n"/>
      <c r="AD986" s="1" t="n"/>
      <c r="AE986" s="1" t="n"/>
      <c r="AF986" s="1" t="n"/>
      <c r="AG986" s="1" t="n"/>
      <c r="AH986" s="1" t="n"/>
      <c r="AI986" s="1" t="n"/>
      <c r="AJ986" s="1" t="n"/>
      <c r="AK986" s="1" t="n"/>
      <c r="AL986" s="1" t="n"/>
    </row>
    <row r="987" ht="14.2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  <c r="AC987" s="1" t="n"/>
      <c r="AD987" s="1" t="n"/>
      <c r="AE987" s="1" t="n"/>
      <c r="AF987" s="1" t="n"/>
      <c r="AG987" s="1" t="n"/>
      <c r="AH987" s="1" t="n"/>
      <c r="AI987" s="1" t="n"/>
      <c r="AJ987" s="1" t="n"/>
      <c r="AK987" s="1" t="n"/>
      <c r="AL987" s="1" t="n"/>
    </row>
    <row r="988" ht="14.2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  <c r="AC988" s="1" t="n"/>
      <c r="AD988" s="1" t="n"/>
      <c r="AE988" s="1" t="n"/>
      <c r="AF988" s="1" t="n"/>
      <c r="AG988" s="1" t="n"/>
      <c r="AH988" s="1" t="n"/>
      <c r="AI988" s="1" t="n"/>
      <c r="AJ988" s="1" t="n"/>
      <c r="AK988" s="1" t="n"/>
      <c r="AL988" s="1" t="n"/>
    </row>
    <row r="989" ht="14.2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  <c r="AC989" s="1" t="n"/>
      <c r="AD989" s="1" t="n"/>
      <c r="AE989" s="1" t="n"/>
      <c r="AF989" s="1" t="n"/>
      <c r="AG989" s="1" t="n"/>
      <c r="AH989" s="1" t="n"/>
      <c r="AI989" s="1" t="n"/>
      <c r="AJ989" s="1" t="n"/>
      <c r="AK989" s="1" t="n"/>
      <c r="AL989" s="1" t="n"/>
    </row>
    <row r="990" ht="14.2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  <c r="AC990" s="1" t="n"/>
      <c r="AD990" s="1" t="n"/>
      <c r="AE990" s="1" t="n"/>
      <c r="AF990" s="1" t="n"/>
      <c r="AG990" s="1" t="n"/>
      <c r="AH990" s="1" t="n"/>
      <c r="AI990" s="1" t="n"/>
      <c r="AJ990" s="1" t="n"/>
      <c r="AK990" s="1" t="n"/>
      <c r="AL990" s="1" t="n"/>
    </row>
    <row r="991" ht="14.2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  <c r="AC991" s="1" t="n"/>
      <c r="AD991" s="1" t="n"/>
      <c r="AE991" s="1" t="n"/>
      <c r="AF991" s="1" t="n"/>
      <c r="AG991" s="1" t="n"/>
      <c r="AH991" s="1" t="n"/>
      <c r="AI991" s="1" t="n"/>
      <c r="AJ991" s="1" t="n"/>
      <c r="AK991" s="1" t="n"/>
      <c r="AL991" s="1" t="n"/>
    </row>
    <row r="992" ht="14.2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  <c r="AC992" s="1" t="n"/>
      <c r="AD992" s="1" t="n"/>
      <c r="AE992" s="1" t="n"/>
      <c r="AF992" s="1" t="n"/>
      <c r="AG992" s="1" t="n"/>
      <c r="AH992" s="1" t="n"/>
      <c r="AI992" s="1" t="n"/>
      <c r="AJ992" s="1" t="n"/>
      <c r="AK992" s="1" t="n"/>
      <c r="AL992" s="1" t="n"/>
    </row>
    <row r="993" ht="14.2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  <c r="AC993" s="1" t="n"/>
      <c r="AD993" s="1" t="n"/>
      <c r="AE993" s="1" t="n"/>
      <c r="AF993" s="1" t="n"/>
      <c r="AG993" s="1" t="n"/>
      <c r="AH993" s="1" t="n"/>
      <c r="AI993" s="1" t="n"/>
      <c r="AJ993" s="1" t="n"/>
      <c r="AK993" s="1" t="n"/>
      <c r="AL993" s="1" t="n"/>
    </row>
    <row r="994" ht="14.2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  <c r="AC994" s="1" t="n"/>
      <c r="AD994" s="1" t="n"/>
      <c r="AE994" s="1" t="n"/>
      <c r="AF994" s="1" t="n"/>
      <c r="AG994" s="1" t="n"/>
      <c r="AH994" s="1" t="n"/>
      <c r="AI994" s="1" t="n"/>
      <c r="AJ994" s="1" t="n"/>
      <c r="AK994" s="1" t="n"/>
      <c r="AL994" s="1" t="n"/>
    </row>
    <row r="995" ht="14.2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  <c r="AC995" s="1" t="n"/>
      <c r="AD995" s="1" t="n"/>
      <c r="AE995" s="1" t="n"/>
      <c r="AF995" s="1" t="n"/>
      <c r="AG995" s="1" t="n"/>
      <c r="AH995" s="1" t="n"/>
      <c r="AI995" s="1" t="n"/>
      <c r="AJ995" s="1" t="n"/>
      <c r="AK995" s="1" t="n"/>
      <c r="AL995" s="1" t="n"/>
    </row>
    <row r="996" ht="14.2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  <c r="AC996" s="1" t="n"/>
      <c r="AD996" s="1" t="n"/>
      <c r="AE996" s="1" t="n"/>
      <c r="AF996" s="1" t="n"/>
      <c r="AG996" s="1" t="n"/>
      <c r="AH996" s="1" t="n"/>
      <c r="AI996" s="1" t="n"/>
      <c r="AJ996" s="1" t="n"/>
      <c r="AK996" s="1" t="n"/>
      <c r="AL996" s="1" t="n"/>
    </row>
    <row r="997" ht="14.2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  <c r="AC997" s="1" t="n"/>
      <c r="AD997" s="1" t="n"/>
      <c r="AE997" s="1" t="n"/>
      <c r="AF997" s="1" t="n"/>
      <c r="AG997" s="1" t="n"/>
      <c r="AH997" s="1" t="n"/>
      <c r="AI997" s="1" t="n"/>
      <c r="AJ997" s="1" t="n"/>
      <c r="AK997" s="1" t="n"/>
      <c r="AL997" s="1" t="n"/>
    </row>
    <row r="998" ht="14.25" customHeight="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  <c r="AC998" s="1" t="n"/>
      <c r="AD998" s="1" t="n"/>
      <c r="AE998" s="1" t="n"/>
      <c r="AF998" s="1" t="n"/>
      <c r="AG998" s="1" t="n"/>
      <c r="AH998" s="1" t="n"/>
      <c r="AI998" s="1" t="n"/>
      <c r="AJ998" s="1" t="n"/>
      <c r="AK998" s="1" t="n"/>
      <c r="AL998" s="1" t="n"/>
    </row>
    <row r="999" ht="14.25" customHeight="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  <c r="AC999" s="1" t="n"/>
      <c r="AD999" s="1" t="n"/>
      <c r="AE999" s="1" t="n"/>
      <c r="AF999" s="1" t="n"/>
      <c r="AG999" s="1" t="n"/>
      <c r="AH999" s="1" t="n"/>
      <c r="AI999" s="1" t="n"/>
      <c r="AJ999" s="1" t="n"/>
      <c r="AK999" s="1" t="n"/>
      <c r="AL999" s="1" t="n"/>
    </row>
    <row r="1000" ht="14.25" customHeight="1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  <c r="AC1000" s="1" t="n"/>
      <c r="AD1000" s="1" t="n"/>
      <c r="AE1000" s="1" t="n"/>
      <c r="AF1000" s="1" t="n"/>
      <c r="AG1000" s="1" t="n"/>
      <c r="AH1000" s="1" t="n"/>
      <c r="AI1000" s="1" t="n"/>
      <c r="AJ1000" s="1" t="n"/>
      <c r="AK1000" s="1" t="n"/>
      <c r="AL1000" s="1" t="n"/>
    </row>
  </sheetData>
  <mergeCells count="1">
    <mergeCell ref="B2:C2"/>
  </mergeCells>
  <conditionalFormatting sqref="C21:AB22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C26:AB26">
    <cfRule type="cellIs" priority="7" operator="lessThan" dxfId="0">
      <formula>0</formula>
    </cfRule>
    <cfRule type="cellIs" priority="8" operator="greaterThan" dxfId="1">
      <formula>0</formula>
    </cfRule>
  </conditionalFormatting>
  <conditionalFormatting sqref="C31:AB32">
    <cfRule type="cellIs" priority="5" operator="greaterThan" dxfId="1">
      <formula>0</formula>
    </cfRule>
    <cfRule type="cellIs" priority="6" operator="lessThan" dxfId="0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55A11"/>
    <outlinePr summaryBelow="1" summaryRight="1"/>
    <pageSetUpPr/>
  </sheetPr>
  <dimension ref="A1:Z1000"/>
  <sheetViews>
    <sheetView showGridLines="0" tabSelected="1" workbookViewId="0">
      <selection activeCell="C7" sqref="C7"/>
    </sheetView>
  </sheetViews>
  <sheetFormatPr baseColWidth="10" defaultColWidth="14.453125" defaultRowHeight="15" customHeight="1"/>
  <cols>
    <col width="10.7265625" customWidth="1" min="1" max="1"/>
    <col width="23.453125" customWidth="1" min="2" max="2"/>
    <col width="13.453125" customWidth="1" min="3" max="3"/>
    <col width="13.26953125" customWidth="1" min="4" max="8"/>
    <col width="10.7265625" customWidth="1" min="9" max="26"/>
  </cols>
  <sheetData>
    <row r="1" ht="14.25" customHeight="1">
      <c r="C1" s="140" t="n"/>
    </row>
    <row r="2" ht="14.25" customHeight="1">
      <c r="C2" s="140" t="n"/>
    </row>
    <row r="3" ht="14.25" customHeight="1">
      <c r="C3" s="140" t="n"/>
    </row>
    <row r="4" ht="14.25" customHeight="1">
      <c r="B4" s="141" t="inlineStr">
        <is>
          <t>Necesidad de inversión</t>
        </is>
      </c>
      <c r="C4" s="142">
        <f>+C5+C6</f>
        <v/>
      </c>
    </row>
    <row r="5" ht="14.25" customHeight="1">
      <c r="B5" s="143" t="inlineStr">
        <is>
          <t>CAPEX</t>
        </is>
      </c>
      <c r="C5" s="144">
        <f>+CAPEX!C5</f>
        <v/>
      </c>
    </row>
    <row r="6" ht="14.25" customHeight="1">
      <c r="B6" s="143" t="inlineStr">
        <is>
          <t>Capital de Trabajo</t>
        </is>
      </c>
      <c r="C6" s="144">
        <f>+'Proyección financiera'!C30</f>
        <v/>
      </c>
    </row>
    <row r="7" ht="14.25" customHeight="1">
      <c r="B7" s="141" t="inlineStr">
        <is>
          <t>Costo de capital</t>
        </is>
      </c>
      <c r="C7" s="268" t="n">
        <v>0.22</v>
      </c>
    </row>
    <row r="8" ht="14.25" customHeight="1" thickBot="1">
      <c r="B8" s="146" t="n"/>
      <c r="C8" s="147" t="n"/>
    </row>
    <row r="9" ht="14.25" customHeight="1" thickBot="1">
      <c r="A9" s="148" t="n"/>
      <c r="B9" s="222" t="inlineStr">
        <is>
          <t>Porcentage estimado de crecimiento</t>
        </is>
      </c>
      <c r="C9" s="269" t="n"/>
      <c r="D9" s="269" t="n"/>
      <c r="E9" s="269" t="n"/>
      <c r="F9" s="270" t="n">
        <v>0.6</v>
      </c>
      <c r="G9" s="270" t="n">
        <v>0.4</v>
      </c>
      <c r="H9" s="270" t="n">
        <v>0.3</v>
      </c>
      <c r="I9" s="148" t="n"/>
      <c r="J9" s="148" t="n"/>
      <c r="K9" s="148" t="n"/>
      <c r="L9" s="148" t="n"/>
      <c r="M9" s="148" t="n"/>
      <c r="N9" s="148" t="n"/>
      <c r="O9" s="148" t="n"/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4.25" customHeight="1" thickBot="1">
      <c r="B10" s="191" t="inlineStr">
        <is>
          <t>Año</t>
        </is>
      </c>
      <c r="C10" s="178" t="n">
        <v>0</v>
      </c>
      <c r="D10" s="179" t="n">
        <v>1</v>
      </c>
      <c r="E10" s="179" t="n">
        <v>2</v>
      </c>
      <c r="F10" s="178" t="n">
        <v>3</v>
      </c>
      <c r="G10" s="179" t="n">
        <v>4</v>
      </c>
      <c r="H10" s="180" t="n">
        <v>5</v>
      </c>
    </row>
    <row r="11" ht="14.25" customHeight="1">
      <c r="B11" s="149" t="inlineStr">
        <is>
          <t>Resultado</t>
        </is>
      </c>
      <c r="C11" s="150">
        <f>-C4</f>
        <v/>
      </c>
      <c r="D11" s="151">
        <f>+'Proyección financiera'!O26</f>
        <v/>
      </c>
      <c r="E11" s="151">
        <f>+'Proyección financiera'!AB26</f>
        <v/>
      </c>
      <c r="F11" s="151">
        <f>+E11*(1+F9)</f>
        <v/>
      </c>
      <c r="G11" s="151">
        <f>+F11*(1+G9)</f>
        <v/>
      </c>
      <c r="H11" s="151">
        <f>+G11*(1+H9)</f>
        <v/>
      </c>
    </row>
    <row r="12" ht="14.25" customHeight="1">
      <c r="B12" s="152" t="inlineStr">
        <is>
          <t>Valor presente</t>
        </is>
      </c>
      <c r="C12" s="153" t="n"/>
      <c r="D12" s="154">
        <f>D11/(1+$C$7)^D10</f>
        <v/>
      </c>
      <c r="E12" s="154">
        <f>E11/(1+$C$7)^E10</f>
        <v/>
      </c>
      <c r="F12" s="154">
        <f>F11/(1+$C$7)^F10</f>
        <v/>
      </c>
      <c r="G12" s="154">
        <f>G11/(1+$C$7)^G10</f>
        <v/>
      </c>
      <c r="H12" s="154">
        <f>H11/(1+$C$7)^H10</f>
        <v/>
      </c>
    </row>
    <row r="13" ht="14.25" customHeight="1">
      <c r="B13" s="155" t="inlineStr">
        <is>
          <t>Valor presente neto</t>
        </is>
      </c>
      <c r="C13" s="156" t="n"/>
      <c r="D13" s="156" t="n"/>
      <c r="E13" s="156" t="n"/>
      <c r="F13" s="156" t="n"/>
      <c r="G13" s="156" t="n"/>
      <c r="H13" s="157">
        <f>+SUM(C12:H12)</f>
        <v/>
      </c>
    </row>
    <row r="14" ht="14.25" customHeight="1">
      <c r="B14" s="155" t="inlineStr">
        <is>
          <t>TIR</t>
        </is>
      </c>
      <c r="C14" s="158" t="n"/>
      <c r="D14" s="159" t="n"/>
      <c r="E14" s="159" t="n"/>
      <c r="F14" s="159" t="n"/>
      <c r="G14" s="160" t="n"/>
      <c r="H14" s="145">
        <f>+IF(C11&lt;&gt;0,IRR(C11:H11,),"")</f>
        <v/>
      </c>
    </row>
    <row r="15" ht="14.25" customHeight="1">
      <c r="B15" s="161" t="inlineStr">
        <is>
          <t>Índice de rentabilidad</t>
        </is>
      </c>
      <c r="C15" s="158" t="n"/>
      <c r="D15" s="159" t="n"/>
      <c r="E15" s="159" t="n"/>
      <c r="F15" s="159" t="n"/>
      <c r="G15" s="160" t="n"/>
      <c r="H15" s="161">
        <f>IF(C4&lt;&gt;0,1+H13/C4,"")</f>
        <v/>
      </c>
    </row>
    <row r="16" ht="14.25" customHeight="1">
      <c r="B16" s="161" t="inlineStr">
        <is>
          <t>% equivalente a la inversión</t>
        </is>
      </c>
      <c r="C16" s="158" t="n"/>
      <c r="D16" s="159" t="n"/>
      <c r="E16" s="159" t="n"/>
      <c r="F16" s="159" t="n"/>
      <c r="G16" s="160" t="n"/>
      <c r="H16" s="145">
        <f>IF(H13&gt;0,C4/H13,0)</f>
        <v/>
      </c>
    </row>
    <row r="17" ht="14.25" customHeight="1">
      <c r="C17" s="140" t="n"/>
    </row>
    <row r="18" ht="14.25" customHeight="1">
      <c r="C18" s="140" t="n"/>
    </row>
    <row r="19" ht="14.25" customHeight="1">
      <c r="C19" s="140" t="n"/>
    </row>
    <row r="20" ht="14.25" customHeight="1">
      <c r="C20" s="140" t="n"/>
    </row>
    <row r="21" ht="14.25" customHeight="1">
      <c r="C21" s="140" t="n"/>
    </row>
    <row r="22" ht="14.25" customHeight="1">
      <c r="C22" s="140" t="n"/>
    </row>
    <row r="23" ht="14.25" customHeight="1">
      <c r="C23" s="140" t="n"/>
    </row>
    <row r="24" ht="14.25" customHeight="1">
      <c r="C24" s="140" t="n"/>
    </row>
    <row r="25" ht="14.25" customHeight="1">
      <c r="C25" s="140" t="n"/>
    </row>
    <row r="26" ht="14.25" customHeight="1">
      <c r="C26" s="140" t="n"/>
    </row>
    <row r="27" ht="14.25" customHeight="1">
      <c r="C27" s="140" t="n"/>
    </row>
    <row r="28" ht="14.25" customHeight="1">
      <c r="C28" s="140" t="n"/>
    </row>
    <row r="29" ht="14.25" customHeight="1">
      <c r="C29" s="140" t="n"/>
    </row>
    <row r="30" ht="14.25" customHeight="1">
      <c r="C30" s="140" t="n"/>
    </row>
    <row r="31" ht="14.25" customHeight="1">
      <c r="C31" s="140" t="n"/>
    </row>
    <row r="32" ht="14.25" customHeight="1">
      <c r="C32" s="140" t="n"/>
    </row>
    <row r="33" ht="14.25" customHeight="1">
      <c r="C33" s="140" t="n"/>
    </row>
    <row r="34" ht="14.25" customHeight="1">
      <c r="C34" s="140" t="n"/>
    </row>
    <row r="35" ht="14.25" customHeight="1">
      <c r="C35" s="140" t="n"/>
    </row>
    <row r="36" ht="14.25" customHeight="1">
      <c r="C36" s="140" t="n"/>
    </row>
    <row r="37" ht="14.25" customHeight="1">
      <c r="C37" s="140" t="n"/>
    </row>
    <row r="38" ht="14.25" customHeight="1">
      <c r="C38" s="140" t="n"/>
    </row>
    <row r="39" ht="14.25" customHeight="1">
      <c r="C39" s="140" t="n"/>
    </row>
    <row r="40" ht="14.25" customHeight="1">
      <c r="C40" s="140" t="n"/>
    </row>
    <row r="41" ht="14.25" customHeight="1">
      <c r="C41" s="140" t="n"/>
    </row>
    <row r="42" ht="14.25" customHeight="1">
      <c r="C42" s="140" t="n"/>
    </row>
    <row r="43" ht="14.25" customHeight="1">
      <c r="C43" s="140" t="n"/>
    </row>
    <row r="44" ht="14.25" customHeight="1">
      <c r="C44" s="140" t="n"/>
    </row>
    <row r="45" ht="14.25" customHeight="1">
      <c r="C45" s="140" t="n"/>
    </row>
    <row r="46" ht="14.25" customHeight="1">
      <c r="C46" s="140" t="n"/>
    </row>
    <row r="47" ht="14.25" customHeight="1">
      <c r="C47" s="140" t="n"/>
    </row>
    <row r="48" ht="14.25" customHeight="1">
      <c r="C48" s="140" t="n"/>
    </row>
    <row r="49" ht="14.25" customHeight="1">
      <c r="C49" s="140" t="n"/>
    </row>
    <row r="50" ht="14.25" customHeight="1">
      <c r="C50" s="140" t="n"/>
    </row>
    <row r="51" ht="14.25" customHeight="1">
      <c r="C51" s="140" t="n"/>
    </row>
    <row r="52" ht="14.25" customHeight="1">
      <c r="C52" s="140" t="n"/>
    </row>
    <row r="53" ht="14.25" customHeight="1">
      <c r="C53" s="140" t="n"/>
    </row>
    <row r="54" ht="14.25" customHeight="1">
      <c r="C54" s="140" t="n"/>
    </row>
    <row r="55" ht="14.25" customHeight="1">
      <c r="C55" s="140" t="n"/>
    </row>
    <row r="56" ht="14.25" customHeight="1">
      <c r="C56" s="140" t="n"/>
    </row>
    <row r="57" ht="14.25" customHeight="1">
      <c r="C57" s="140" t="n"/>
    </row>
    <row r="58" ht="14.25" customHeight="1">
      <c r="C58" s="140" t="n"/>
    </row>
    <row r="59" ht="14.25" customHeight="1">
      <c r="C59" s="140" t="n"/>
    </row>
    <row r="60" ht="14.25" customHeight="1">
      <c r="C60" s="140" t="n"/>
    </row>
    <row r="61" ht="14.25" customHeight="1">
      <c r="C61" s="140" t="n"/>
    </row>
    <row r="62" ht="14.25" customHeight="1">
      <c r="C62" s="140" t="n"/>
    </row>
    <row r="63" ht="14.25" customHeight="1">
      <c r="C63" s="140" t="n"/>
    </row>
    <row r="64" ht="14.25" customHeight="1">
      <c r="C64" s="140" t="n"/>
    </row>
    <row r="65" ht="14.25" customHeight="1">
      <c r="C65" s="140" t="n"/>
    </row>
    <row r="66" ht="14.25" customHeight="1">
      <c r="C66" s="140" t="n"/>
    </row>
    <row r="67" ht="14.25" customHeight="1">
      <c r="C67" s="140" t="n"/>
    </row>
    <row r="68" ht="14.25" customHeight="1">
      <c r="C68" s="140" t="n"/>
    </row>
    <row r="69" ht="14.25" customHeight="1">
      <c r="C69" s="140" t="n"/>
    </row>
    <row r="70" ht="14.25" customHeight="1">
      <c r="C70" s="140" t="n"/>
    </row>
    <row r="71" ht="14.25" customHeight="1">
      <c r="C71" s="140" t="n"/>
    </row>
    <row r="72" ht="14.25" customHeight="1">
      <c r="C72" s="140" t="n"/>
    </row>
    <row r="73" ht="14.25" customHeight="1">
      <c r="C73" s="140" t="n"/>
    </row>
    <row r="74" ht="14.25" customHeight="1">
      <c r="C74" s="140" t="n"/>
    </row>
    <row r="75" ht="14.25" customHeight="1">
      <c r="C75" s="140" t="n"/>
    </row>
    <row r="76" ht="14.25" customHeight="1">
      <c r="C76" s="140" t="n"/>
    </row>
    <row r="77" ht="14.25" customHeight="1">
      <c r="C77" s="140" t="n"/>
    </row>
    <row r="78" ht="14.25" customHeight="1">
      <c r="C78" s="140" t="n"/>
    </row>
    <row r="79" ht="14.25" customHeight="1">
      <c r="C79" s="140" t="n"/>
    </row>
    <row r="80" ht="14.25" customHeight="1">
      <c r="C80" s="140" t="n"/>
    </row>
    <row r="81" ht="14.25" customHeight="1">
      <c r="C81" s="140" t="n"/>
    </row>
    <row r="82" ht="14.25" customHeight="1">
      <c r="C82" s="140" t="n"/>
    </row>
    <row r="83" ht="14.25" customHeight="1">
      <c r="C83" s="140" t="n"/>
    </row>
    <row r="84" ht="14.25" customHeight="1">
      <c r="C84" s="140" t="n"/>
    </row>
    <row r="85" ht="14.25" customHeight="1">
      <c r="C85" s="140" t="n"/>
    </row>
    <row r="86" ht="14.25" customHeight="1">
      <c r="C86" s="140" t="n"/>
    </row>
    <row r="87" ht="14.25" customHeight="1">
      <c r="C87" s="140" t="n"/>
    </row>
    <row r="88" ht="14.25" customHeight="1">
      <c r="C88" s="140" t="n"/>
    </row>
    <row r="89" ht="14.25" customHeight="1">
      <c r="C89" s="140" t="n"/>
    </row>
    <row r="90" ht="14.25" customHeight="1">
      <c r="C90" s="140" t="n"/>
    </row>
    <row r="91" ht="14.25" customHeight="1">
      <c r="C91" s="140" t="n"/>
    </row>
    <row r="92" ht="14.25" customHeight="1">
      <c r="C92" s="140" t="n"/>
    </row>
    <row r="93" ht="14.25" customHeight="1">
      <c r="C93" s="140" t="n"/>
    </row>
    <row r="94" ht="14.25" customHeight="1">
      <c r="C94" s="140" t="n"/>
    </row>
    <row r="95" ht="14.25" customHeight="1">
      <c r="C95" s="140" t="n"/>
    </row>
    <row r="96" ht="14.25" customHeight="1">
      <c r="C96" s="140" t="n"/>
    </row>
    <row r="97" ht="14.25" customHeight="1">
      <c r="C97" s="140" t="n"/>
    </row>
    <row r="98" ht="14.25" customHeight="1">
      <c r="C98" s="140" t="n"/>
    </row>
    <row r="99" ht="14.25" customHeight="1">
      <c r="C99" s="140" t="n"/>
    </row>
    <row r="100" ht="14.25" customHeight="1">
      <c r="C100" s="140" t="n"/>
    </row>
    <row r="101" ht="14.25" customHeight="1">
      <c r="C101" s="140" t="n"/>
    </row>
    <row r="102" ht="14.25" customHeight="1">
      <c r="C102" s="140" t="n"/>
    </row>
    <row r="103" ht="14.25" customHeight="1">
      <c r="C103" s="140" t="n"/>
    </row>
    <row r="104" ht="14.25" customHeight="1">
      <c r="C104" s="140" t="n"/>
    </row>
    <row r="105" ht="14.25" customHeight="1">
      <c r="C105" s="140" t="n"/>
    </row>
    <row r="106" ht="14.25" customHeight="1">
      <c r="C106" s="140" t="n"/>
    </row>
    <row r="107" ht="14.25" customHeight="1">
      <c r="C107" s="140" t="n"/>
    </row>
    <row r="108" ht="14.25" customHeight="1">
      <c r="C108" s="140" t="n"/>
    </row>
    <row r="109" ht="14.25" customHeight="1">
      <c r="C109" s="140" t="n"/>
    </row>
    <row r="110" ht="14.25" customHeight="1">
      <c r="C110" s="140" t="n"/>
    </row>
    <row r="111" ht="14.25" customHeight="1">
      <c r="C111" s="140" t="n"/>
    </row>
    <row r="112" ht="14.25" customHeight="1">
      <c r="C112" s="140" t="n"/>
    </row>
    <row r="113" ht="14.25" customHeight="1">
      <c r="C113" s="140" t="n"/>
    </row>
    <row r="114" ht="14.25" customHeight="1">
      <c r="C114" s="140" t="n"/>
    </row>
    <row r="115" ht="14.25" customHeight="1">
      <c r="C115" s="140" t="n"/>
    </row>
    <row r="116" ht="14.25" customHeight="1">
      <c r="C116" s="140" t="n"/>
    </row>
    <row r="117" ht="14.25" customHeight="1">
      <c r="C117" s="140" t="n"/>
    </row>
    <row r="118" ht="14.25" customHeight="1">
      <c r="C118" s="140" t="n"/>
    </row>
    <row r="119" ht="14.25" customHeight="1">
      <c r="C119" s="140" t="n"/>
    </row>
    <row r="120" ht="14.25" customHeight="1">
      <c r="C120" s="140" t="n"/>
    </row>
    <row r="121" ht="14.25" customHeight="1">
      <c r="C121" s="140" t="n"/>
    </row>
    <row r="122" ht="14.25" customHeight="1">
      <c r="C122" s="140" t="n"/>
    </row>
    <row r="123" ht="14.25" customHeight="1">
      <c r="C123" s="140" t="n"/>
    </row>
    <row r="124" ht="14.25" customHeight="1">
      <c r="C124" s="140" t="n"/>
    </row>
    <row r="125" ht="14.25" customHeight="1">
      <c r="C125" s="140" t="n"/>
    </row>
    <row r="126" ht="14.25" customHeight="1">
      <c r="C126" s="140" t="n"/>
    </row>
    <row r="127" ht="14.25" customHeight="1">
      <c r="C127" s="140" t="n"/>
    </row>
    <row r="128" ht="14.25" customHeight="1">
      <c r="C128" s="140" t="n"/>
    </row>
    <row r="129" ht="14.25" customHeight="1">
      <c r="C129" s="140" t="n"/>
    </row>
    <row r="130" ht="14.25" customHeight="1">
      <c r="C130" s="140" t="n"/>
    </row>
    <row r="131" ht="14.25" customHeight="1">
      <c r="C131" s="140" t="n"/>
    </row>
    <row r="132" ht="14.25" customHeight="1">
      <c r="C132" s="140" t="n"/>
    </row>
    <row r="133" ht="14.25" customHeight="1">
      <c r="C133" s="140" t="n"/>
    </row>
    <row r="134" ht="14.25" customHeight="1">
      <c r="C134" s="140" t="n"/>
    </row>
    <row r="135" ht="14.25" customHeight="1">
      <c r="C135" s="140" t="n"/>
    </row>
    <row r="136" ht="14.25" customHeight="1">
      <c r="C136" s="140" t="n"/>
    </row>
    <row r="137" ht="14.25" customHeight="1">
      <c r="C137" s="140" t="n"/>
    </row>
    <row r="138" ht="14.25" customHeight="1">
      <c r="C138" s="140" t="n"/>
    </row>
    <row r="139" ht="14.25" customHeight="1">
      <c r="C139" s="140" t="n"/>
    </row>
    <row r="140" ht="14.25" customHeight="1">
      <c r="C140" s="140" t="n"/>
    </row>
    <row r="141" ht="14.25" customHeight="1">
      <c r="C141" s="140" t="n"/>
    </row>
    <row r="142" ht="14.25" customHeight="1">
      <c r="C142" s="140" t="n"/>
    </row>
    <row r="143" ht="14.25" customHeight="1">
      <c r="C143" s="140" t="n"/>
    </row>
    <row r="144" ht="14.25" customHeight="1">
      <c r="C144" s="140" t="n"/>
    </row>
    <row r="145" ht="14.25" customHeight="1">
      <c r="C145" s="140" t="n"/>
    </row>
    <row r="146" ht="14.25" customHeight="1">
      <c r="C146" s="140" t="n"/>
    </row>
    <row r="147" ht="14.25" customHeight="1">
      <c r="C147" s="140" t="n"/>
    </row>
    <row r="148" ht="14.25" customHeight="1">
      <c r="C148" s="140" t="n"/>
    </row>
    <row r="149" ht="14.25" customHeight="1">
      <c r="C149" s="140" t="n"/>
    </row>
    <row r="150" ht="14.25" customHeight="1">
      <c r="C150" s="140" t="n"/>
    </row>
    <row r="151" ht="14.25" customHeight="1">
      <c r="C151" s="140" t="n"/>
    </row>
    <row r="152" ht="14.25" customHeight="1">
      <c r="C152" s="140" t="n"/>
    </row>
    <row r="153" ht="14.25" customHeight="1">
      <c r="C153" s="140" t="n"/>
    </row>
    <row r="154" ht="14.25" customHeight="1">
      <c r="C154" s="140" t="n"/>
    </row>
    <row r="155" ht="14.25" customHeight="1">
      <c r="C155" s="140" t="n"/>
    </row>
    <row r="156" ht="14.25" customHeight="1">
      <c r="C156" s="140" t="n"/>
    </row>
    <row r="157" ht="14.25" customHeight="1">
      <c r="C157" s="140" t="n"/>
    </row>
    <row r="158" ht="14.25" customHeight="1">
      <c r="C158" s="140" t="n"/>
    </row>
    <row r="159" ht="14.25" customHeight="1">
      <c r="C159" s="140" t="n"/>
    </row>
    <row r="160" ht="14.25" customHeight="1">
      <c r="C160" s="140" t="n"/>
    </row>
    <row r="161" ht="14.25" customHeight="1">
      <c r="C161" s="140" t="n"/>
    </row>
    <row r="162" ht="14.25" customHeight="1">
      <c r="C162" s="140" t="n"/>
    </row>
    <row r="163" ht="14.25" customHeight="1">
      <c r="C163" s="140" t="n"/>
    </row>
    <row r="164" ht="14.25" customHeight="1">
      <c r="C164" s="140" t="n"/>
    </row>
    <row r="165" ht="14.25" customHeight="1">
      <c r="C165" s="140" t="n"/>
    </row>
    <row r="166" ht="14.25" customHeight="1">
      <c r="C166" s="140" t="n"/>
    </row>
    <row r="167" ht="14.25" customHeight="1">
      <c r="C167" s="140" t="n"/>
    </row>
    <row r="168" ht="14.25" customHeight="1">
      <c r="C168" s="140" t="n"/>
    </row>
    <row r="169" ht="14.25" customHeight="1">
      <c r="C169" s="140" t="n"/>
    </row>
    <row r="170" ht="14.25" customHeight="1">
      <c r="C170" s="140" t="n"/>
    </row>
    <row r="171" ht="14.25" customHeight="1">
      <c r="C171" s="140" t="n"/>
    </row>
    <row r="172" ht="14.25" customHeight="1">
      <c r="C172" s="140" t="n"/>
    </row>
    <row r="173" ht="14.25" customHeight="1">
      <c r="C173" s="140" t="n"/>
    </row>
    <row r="174" ht="14.25" customHeight="1">
      <c r="C174" s="140" t="n"/>
    </row>
    <row r="175" ht="14.25" customHeight="1">
      <c r="C175" s="140" t="n"/>
    </row>
    <row r="176" ht="14.25" customHeight="1">
      <c r="C176" s="140" t="n"/>
    </row>
    <row r="177" ht="14.25" customHeight="1">
      <c r="C177" s="140" t="n"/>
    </row>
    <row r="178" ht="14.25" customHeight="1">
      <c r="C178" s="140" t="n"/>
    </row>
    <row r="179" ht="14.25" customHeight="1">
      <c r="C179" s="140" t="n"/>
    </row>
    <row r="180" ht="14.25" customHeight="1">
      <c r="C180" s="140" t="n"/>
    </row>
    <row r="181" ht="14.25" customHeight="1">
      <c r="C181" s="140" t="n"/>
    </row>
    <row r="182" ht="14.25" customHeight="1">
      <c r="C182" s="140" t="n"/>
    </row>
    <row r="183" ht="14.25" customHeight="1">
      <c r="C183" s="140" t="n"/>
    </row>
    <row r="184" ht="14.25" customHeight="1">
      <c r="C184" s="140" t="n"/>
    </row>
    <row r="185" ht="14.25" customHeight="1">
      <c r="C185" s="140" t="n"/>
    </row>
    <row r="186" ht="14.25" customHeight="1">
      <c r="C186" s="140" t="n"/>
    </row>
    <row r="187" ht="14.25" customHeight="1">
      <c r="C187" s="140" t="n"/>
    </row>
    <row r="188" ht="14.25" customHeight="1">
      <c r="C188" s="140" t="n"/>
    </row>
    <row r="189" ht="14.25" customHeight="1">
      <c r="C189" s="140" t="n"/>
    </row>
    <row r="190" ht="14.25" customHeight="1">
      <c r="C190" s="140" t="n"/>
    </row>
    <row r="191" ht="14.25" customHeight="1">
      <c r="C191" s="140" t="n"/>
    </row>
    <row r="192" ht="14.25" customHeight="1">
      <c r="C192" s="140" t="n"/>
    </row>
    <row r="193" ht="14.25" customHeight="1">
      <c r="C193" s="140" t="n"/>
    </row>
    <row r="194" ht="14.25" customHeight="1">
      <c r="C194" s="140" t="n"/>
    </row>
    <row r="195" ht="14.25" customHeight="1">
      <c r="C195" s="140" t="n"/>
    </row>
    <row r="196" ht="14.25" customHeight="1">
      <c r="C196" s="140" t="n"/>
    </row>
    <row r="197" ht="14.25" customHeight="1">
      <c r="C197" s="140" t="n"/>
    </row>
    <row r="198" ht="14.25" customHeight="1">
      <c r="C198" s="140" t="n"/>
    </row>
    <row r="199" ht="14.25" customHeight="1">
      <c r="C199" s="140" t="n"/>
    </row>
    <row r="200" ht="14.25" customHeight="1">
      <c r="C200" s="140" t="n"/>
    </row>
    <row r="201" ht="14.25" customHeight="1">
      <c r="C201" s="140" t="n"/>
    </row>
    <row r="202" ht="14.25" customHeight="1">
      <c r="C202" s="140" t="n"/>
    </row>
    <row r="203" ht="14.25" customHeight="1">
      <c r="C203" s="140" t="n"/>
    </row>
    <row r="204" ht="14.25" customHeight="1">
      <c r="C204" s="140" t="n"/>
    </row>
    <row r="205" ht="14.25" customHeight="1">
      <c r="C205" s="140" t="n"/>
    </row>
    <row r="206" ht="14.25" customHeight="1">
      <c r="C206" s="140" t="n"/>
    </row>
    <row r="207" ht="14.25" customHeight="1">
      <c r="C207" s="140" t="n"/>
    </row>
    <row r="208" ht="14.25" customHeight="1">
      <c r="C208" s="140" t="n"/>
    </row>
    <row r="209" ht="14.25" customHeight="1">
      <c r="C209" s="140" t="n"/>
    </row>
    <row r="210" ht="14.25" customHeight="1">
      <c r="C210" s="140" t="n"/>
    </row>
    <row r="211" ht="14.25" customHeight="1">
      <c r="C211" s="140" t="n"/>
    </row>
    <row r="212" ht="14.25" customHeight="1">
      <c r="C212" s="140" t="n"/>
    </row>
    <row r="213" ht="14.25" customHeight="1">
      <c r="C213" s="140" t="n"/>
    </row>
    <row r="214" ht="14.25" customHeight="1">
      <c r="C214" s="140" t="n"/>
    </row>
    <row r="215" ht="14.25" customHeight="1">
      <c r="C215" s="140" t="n"/>
    </row>
    <row r="216" ht="14.25" customHeight="1">
      <c r="C216" s="140" t="n"/>
    </row>
    <row r="217" ht="14.25" customHeight="1">
      <c r="C217" s="140" t="n"/>
    </row>
    <row r="218" ht="14.25" customHeight="1">
      <c r="C218" s="140" t="n"/>
    </row>
    <row r="219" ht="14.25" customHeight="1">
      <c r="C219" s="140" t="n"/>
    </row>
    <row r="220" ht="14.25" customHeight="1">
      <c r="C220" s="140" t="n"/>
    </row>
    <row r="221" ht="14.25" customHeight="1">
      <c r="C221" s="140" t="n"/>
    </row>
    <row r="222" ht="14.25" customHeight="1">
      <c r="C222" s="140" t="n"/>
    </row>
    <row r="223" ht="14.25" customHeight="1">
      <c r="C223" s="140" t="n"/>
    </row>
    <row r="224" ht="14.25" customHeight="1">
      <c r="C224" s="140" t="n"/>
    </row>
    <row r="225" ht="14.25" customHeight="1">
      <c r="C225" s="140" t="n"/>
    </row>
    <row r="226" ht="14.25" customHeight="1">
      <c r="C226" s="140" t="n"/>
    </row>
    <row r="227" ht="14.25" customHeight="1">
      <c r="C227" s="140" t="n"/>
    </row>
    <row r="228" ht="14.25" customHeight="1">
      <c r="C228" s="140" t="n"/>
    </row>
    <row r="229" ht="14.25" customHeight="1">
      <c r="C229" s="140" t="n"/>
    </row>
    <row r="230" ht="14.25" customHeight="1">
      <c r="C230" s="140" t="n"/>
    </row>
    <row r="231" ht="14.25" customHeight="1">
      <c r="C231" s="140" t="n"/>
    </row>
    <row r="232" ht="14.25" customHeight="1">
      <c r="C232" s="140" t="n"/>
    </row>
    <row r="233" ht="14.25" customHeight="1">
      <c r="C233" s="140" t="n"/>
    </row>
    <row r="234" ht="14.25" customHeight="1">
      <c r="C234" s="140" t="n"/>
    </row>
    <row r="235" ht="14.25" customHeight="1">
      <c r="C235" s="140" t="n"/>
    </row>
    <row r="236" ht="14.25" customHeight="1">
      <c r="C236" s="140" t="n"/>
    </row>
    <row r="237" ht="14.25" customHeight="1">
      <c r="C237" s="140" t="n"/>
    </row>
    <row r="238" ht="14.25" customHeight="1">
      <c r="C238" s="140" t="n"/>
    </row>
    <row r="239" ht="14.25" customHeight="1">
      <c r="C239" s="140" t="n"/>
    </row>
    <row r="240" ht="14.25" customHeight="1">
      <c r="C240" s="140" t="n"/>
    </row>
    <row r="241" ht="14.25" customHeight="1">
      <c r="C241" s="140" t="n"/>
    </row>
    <row r="242" ht="14.25" customHeight="1">
      <c r="C242" s="140" t="n"/>
    </row>
    <row r="243" ht="14.25" customHeight="1">
      <c r="C243" s="140" t="n"/>
    </row>
    <row r="244" ht="14.25" customHeight="1">
      <c r="C244" s="140" t="n"/>
    </row>
    <row r="245" ht="14.25" customHeight="1">
      <c r="C245" s="140" t="n"/>
    </row>
    <row r="246" ht="14.25" customHeight="1">
      <c r="C246" s="140" t="n"/>
    </row>
    <row r="247" ht="14.25" customHeight="1">
      <c r="C247" s="140" t="n"/>
    </row>
    <row r="248" ht="14.25" customHeight="1">
      <c r="C248" s="140" t="n"/>
    </row>
    <row r="249" ht="14.25" customHeight="1">
      <c r="C249" s="140" t="n"/>
    </row>
    <row r="250" ht="14.25" customHeight="1">
      <c r="C250" s="140" t="n"/>
    </row>
    <row r="251" ht="14.25" customHeight="1">
      <c r="C251" s="140" t="n"/>
    </row>
    <row r="252" ht="14.25" customHeight="1">
      <c r="C252" s="140" t="n"/>
    </row>
    <row r="253" ht="14.25" customHeight="1">
      <c r="C253" s="140" t="n"/>
    </row>
    <row r="254" ht="14.25" customHeight="1">
      <c r="C254" s="140" t="n"/>
    </row>
    <row r="255" ht="14.25" customHeight="1">
      <c r="C255" s="140" t="n"/>
    </row>
    <row r="256" ht="14.25" customHeight="1">
      <c r="C256" s="140" t="n"/>
    </row>
    <row r="257" ht="14.25" customHeight="1">
      <c r="C257" s="140" t="n"/>
    </row>
    <row r="258" ht="14.25" customHeight="1">
      <c r="C258" s="140" t="n"/>
    </row>
    <row r="259" ht="14.25" customHeight="1">
      <c r="C259" s="140" t="n"/>
    </row>
    <row r="260" ht="14.25" customHeight="1">
      <c r="C260" s="140" t="n"/>
    </row>
    <row r="261" ht="14.25" customHeight="1">
      <c r="C261" s="140" t="n"/>
    </row>
    <row r="262" ht="14.25" customHeight="1">
      <c r="C262" s="140" t="n"/>
    </row>
    <row r="263" ht="14.25" customHeight="1">
      <c r="C263" s="140" t="n"/>
    </row>
    <row r="264" ht="14.25" customHeight="1">
      <c r="C264" s="140" t="n"/>
    </row>
    <row r="265" ht="14.25" customHeight="1">
      <c r="C265" s="140" t="n"/>
    </row>
    <row r="266" ht="14.25" customHeight="1">
      <c r="C266" s="140" t="n"/>
    </row>
    <row r="267" ht="14.25" customHeight="1">
      <c r="C267" s="140" t="n"/>
    </row>
    <row r="268" ht="14.25" customHeight="1">
      <c r="C268" s="140" t="n"/>
    </row>
    <row r="269" ht="14.25" customHeight="1">
      <c r="C269" s="140" t="n"/>
    </row>
    <row r="270" ht="14.25" customHeight="1">
      <c r="C270" s="140" t="n"/>
    </row>
    <row r="271" ht="14.25" customHeight="1">
      <c r="C271" s="140" t="n"/>
    </row>
    <row r="272" ht="14.25" customHeight="1">
      <c r="C272" s="140" t="n"/>
    </row>
    <row r="273" ht="14.25" customHeight="1">
      <c r="C273" s="140" t="n"/>
    </row>
    <row r="274" ht="14.25" customHeight="1">
      <c r="C274" s="140" t="n"/>
    </row>
    <row r="275" ht="14.25" customHeight="1">
      <c r="C275" s="140" t="n"/>
    </row>
    <row r="276" ht="14.25" customHeight="1">
      <c r="C276" s="140" t="n"/>
    </row>
    <row r="277" ht="14.25" customHeight="1">
      <c r="C277" s="140" t="n"/>
    </row>
    <row r="278" ht="14.25" customHeight="1">
      <c r="C278" s="140" t="n"/>
    </row>
    <row r="279" ht="14.25" customHeight="1">
      <c r="C279" s="140" t="n"/>
    </row>
    <row r="280" ht="14.25" customHeight="1">
      <c r="C280" s="140" t="n"/>
    </row>
    <row r="281" ht="14.25" customHeight="1">
      <c r="C281" s="140" t="n"/>
    </row>
    <row r="282" ht="14.25" customHeight="1">
      <c r="C282" s="140" t="n"/>
    </row>
    <row r="283" ht="14.25" customHeight="1">
      <c r="C283" s="140" t="n"/>
    </row>
    <row r="284" ht="14.25" customHeight="1">
      <c r="C284" s="140" t="n"/>
    </row>
    <row r="285" ht="14.25" customHeight="1">
      <c r="C285" s="140" t="n"/>
    </row>
    <row r="286" ht="14.25" customHeight="1">
      <c r="C286" s="140" t="n"/>
    </row>
    <row r="287" ht="14.25" customHeight="1">
      <c r="C287" s="140" t="n"/>
    </row>
    <row r="288" ht="14.25" customHeight="1">
      <c r="C288" s="140" t="n"/>
    </row>
    <row r="289" ht="14.25" customHeight="1">
      <c r="C289" s="140" t="n"/>
    </row>
    <row r="290" ht="14.25" customHeight="1">
      <c r="C290" s="140" t="n"/>
    </row>
    <row r="291" ht="14.25" customHeight="1">
      <c r="C291" s="140" t="n"/>
    </row>
    <row r="292" ht="14.25" customHeight="1">
      <c r="C292" s="140" t="n"/>
    </row>
    <row r="293" ht="14.25" customHeight="1">
      <c r="C293" s="140" t="n"/>
    </row>
    <row r="294" ht="14.25" customHeight="1">
      <c r="C294" s="140" t="n"/>
    </row>
    <row r="295" ht="14.25" customHeight="1">
      <c r="C295" s="140" t="n"/>
    </row>
    <row r="296" ht="14.25" customHeight="1">
      <c r="C296" s="140" t="n"/>
    </row>
    <row r="297" ht="14.25" customHeight="1">
      <c r="C297" s="140" t="n"/>
    </row>
    <row r="298" ht="14.25" customHeight="1">
      <c r="C298" s="140" t="n"/>
    </row>
    <row r="299" ht="14.25" customHeight="1">
      <c r="C299" s="140" t="n"/>
    </row>
    <row r="300" ht="14.25" customHeight="1">
      <c r="C300" s="140" t="n"/>
    </row>
    <row r="301" ht="14.25" customHeight="1">
      <c r="C301" s="140" t="n"/>
    </row>
    <row r="302" ht="14.25" customHeight="1">
      <c r="C302" s="140" t="n"/>
    </row>
    <row r="303" ht="14.25" customHeight="1">
      <c r="C303" s="140" t="n"/>
    </row>
    <row r="304" ht="14.25" customHeight="1">
      <c r="C304" s="140" t="n"/>
    </row>
    <row r="305" ht="14.25" customHeight="1">
      <c r="C305" s="140" t="n"/>
    </row>
    <row r="306" ht="14.25" customHeight="1">
      <c r="C306" s="140" t="n"/>
    </row>
    <row r="307" ht="14.25" customHeight="1">
      <c r="C307" s="140" t="n"/>
    </row>
    <row r="308" ht="14.25" customHeight="1">
      <c r="C308" s="140" t="n"/>
    </row>
    <row r="309" ht="14.25" customHeight="1">
      <c r="C309" s="140" t="n"/>
    </row>
    <row r="310" ht="14.25" customHeight="1">
      <c r="C310" s="140" t="n"/>
    </row>
    <row r="311" ht="14.25" customHeight="1">
      <c r="C311" s="140" t="n"/>
    </row>
    <row r="312" ht="14.25" customHeight="1">
      <c r="C312" s="140" t="n"/>
    </row>
    <row r="313" ht="14.25" customHeight="1">
      <c r="C313" s="140" t="n"/>
    </row>
    <row r="314" ht="14.25" customHeight="1">
      <c r="C314" s="140" t="n"/>
    </row>
    <row r="315" ht="14.25" customHeight="1">
      <c r="C315" s="140" t="n"/>
    </row>
    <row r="316" ht="14.25" customHeight="1">
      <c r="C316" s="140" t="n"/>
    </row>
    <row r="317" ht="14.25" customHeight="1">
      <c r="C317" s="140" t="n"/>
    </row>
    <row r="318" ht="14.25" customHeight="1">
      <c r="C318" s="140" t="n"/>
    </row>
    <row r="319" ht="14.25" customHeight="1">
      <c r="C319" s="140" t="n"/>
    </row>
    <row r="320" ht="14.25" customHeight="1">
      <c r="C320" s="140" t="n"/>
    </row>
    <row r="321" ht="14.25" customHeight="1">
      <c r="C321" s="140" t="n"/>
    </row>
    <row r="322" ht="14.25" customHeight="1">
      <c r="C322" s="140" t="n"/>
    </row>
    <row r="323" ht="14.25" customHeight="1">
      <c r="C323" s="140" t="n"/>
    </row>
    <row r="324" ht="14.25" customHeight="1">
      <c r="C324" s="140" t="n"/>
    </row>
    <row r="325" ht="14.25" customHeight="1">
      <c r="C325" s="140" t="n"/>
    </row>
    <row r="326" ht="14.25" customHeight="1">
      <c r="C326" s="140" t="n"/>
    </row>
    <row r="327" ht="14.25" customHeight="1">
      <c r="C327" s="140" t="n"/>
    </row>
    <row r="328" ht="14.25" customHeight="1">
      <c r="C328" s="140" t="n"/>
    </row>
    <row r="329" ht="14.25" customHeight="1">
      <c r="C329" s="140" t="n"/>
    </row>
    <row r="330" ht="14.25" customHeight="1">
      <c r="C330" s="140" t="n"/>
    </row>
    <row r="331" ht="14.25" customHeight="1">
      <c r="C331" s="140" t="n"/>
    </row>
    <row r="332" ht="14.25" customHeight="1">
      <c r="C332" s="140" t="n"/>
    </row>
    <row r="333" ht="14.25" customHeight="1">
      <c r="C333" s="140" t="n"/>
    </row>
    <row r="334" ht="14.25" customHeight="1">
      <c r="C334" s="140" t="n"/>
    </row>
    <row r="335" ht="14.25" customHeight="1">
      <c r="C335" s="140" t="n"/>
    </row>
    <row r="336" ht="14.25" customHeight="1">
      <c r="C336" s="140" t="n"/>
    </row>
    <row r="337" ht="14.25" customHeight="1">
      <c r="C337" s="140" t="n"/>
    </row>
    <row r="338" ht="14.25" customHeight="1">
      <c r="C338" s="140" t="n"/>
    </row>
    <row r="339" ht="14.25" customHeight="1">
      <c r="C339" s="140" t="n"/>
    </row>
    <row r="340" ht="14.25" customHeight="1">
      <c r="C340" s="140" t="n"/>
    </row>
    <row r="341" ht="14.25" customHeight="1">
      <c r="C341" s="140" t="n"/>
    </row>
    <row r="342" ht="14.25" customHeight="1">
      <c r="C342" s="140" t="n"/>
    </row>
    <row r="343" ht="14.25" customHeight="1">
      <c r="C343" s="140" t="n"/>
    </row>
    <row r="344" ht="14.25" customHeight="1">
      <c r="C344" s="140" t="n"/>
    </row>
    <row r="345" ht="14.25" customHeight="1">
      <c r="C345" s="140" t="n"/>
    </row>
    <row r="346" ht="14.25" customHeight="1">
      <c r="C346" s="140" t="n"/>
    </row>
    <row r="347" ht="14.25" customHeight="1">
      <c r="C347" s="140" t="n"/>
    </row>
    <row r="348" ht="14.25" customHeight="1">
      <c r="C348" s="140" t="n"/>
    </row>
    <row r="349" ht="14.25" customHeight="1">
      <c r="C349" s="140" t="n"/>
    </row>
    <row r="350" ht="14.25" customHeight="1">
      <c r="C350" s="140" t="n"/>
    </row>
    <row r="351" ht="14.25" customHeight="1">
      <c r="C351" s="140" t="n"/>
    </row>
    <row r="352" ht="14.25" customHeight="1">
      <c r="C352" s="140" t="n"/>
    </row>
    <row r="353" ht="14.25" customHeight="1">
      <c r="C353" s="140" t="n"/>
    </row>
    <row r="354" ht="14.25" customHeight="1">
      <c r="C354" s="140" t="n"/>
    </row>
    <row r="355" ht="14.25" customHeight="1">
      <c r="C355" s="140" t="n"/>
    </row>
    <row r="356" ht="14.25" customHeight="1">
      <c r="C356" s="140" t="n"/>
    </row>
    <row r="357" ht="14.25" customHeight="1">
      <c r="C357" s="140" t="n"/>
    </row>
    <row r="358" ht="14.25" customHeight="1">
      <c r="C358" s="140" t="n"/>
    </row>
    <row r="359" ht="14.25" customHeight="1">
      <c r="C359" s="140" t="n"/>
    </row>
    <row r="360" ht="14.25" customHeight="1">
      <c r="C360" s="140" t="n"/>
    </row>
    <row r="361" ht="14.25" customHeight="1">
      <c r="C361" s="140" t="n"/>
    </row>
    <row r="362" ht="14.25" customHeight="1">
      <c r="C362" s="140" t="n"/>
    </row>
    <row r="363" ht="14.25" customHeight="1">
      <c r="C363" s="140" t="n"/>
    </row>
    <row r="364" ht="14.25" customHeight="1">
      <c r="C364" s="140" t="n"/>
    </row>
    <row r="365" ht="14.25" customHeight="1">
      <c r="C365" s="140" t="n"/>
    </row>
    <row r="366" ht="14.25" customHeight="1">
      <c r="C366" s="140" t="n"/>
    </row>
    <row r="367" ht="14.25" customHeight="1">
      <c r="C367" s="140" t="n"/>
    </row>
    <row r="368" ht="14.25" customHeight="1">
      <c r="C368" s="140" t="n"/>
    </row>
    <row r="369" ht="14.25" customHeight="1">
      <c r="C369" s="140" t="n"/>
    </row>
    <row r="370" ht="14.25" customHeight="1">
      <c r="C370" s="140" t="n"/>
    </row>
    <row r="371" ht="14.25" customHeight="1">
      <c r="C371" s="140" t="n"/>
    </row>
    <row r="372" ht="14.25" customHeight="1">
      <c r="C372" s="140" t="n"/>
    </row>
    <row r="373" ht="14.25" customHeight="1">
      <c r="C373" s="140" t="n"/>
    </row>
    <row r="374" ht="14.25" customHeight="1">
      <c r="C374" s="140" t="n"/>
    </row>
    <row r="375" ht="14.25" customHeight="1">
      <c r="C375" s="140" t="n"/>
    </row>
    <row r="376" ht="14.25" customHeight="1">
      <c r="C376" s="140" t="n"/>
    </row>
    <row r="377" ht="14.25" customHeight="1">
      <c r="C377" s="140" t="n"/>
    </row>
    <row r="378" ht="14.25" customHeight="1">
      <c r="C378" s="140" t="n"/>
    </row>
    <row r="379" ht="14.25" customHeight="1">
      <c r="C379" s="140" t="n"/>
    </row>
    <row r="380" ht="14.25" customHeight="1">
      <c r="C380" s="140" t="n"/>
    </row>
    <row r="381" ht="14.25" customHeight="1">
      <c r="C381" s="140" t="n"/>
    </row>
    <row r="382" ht="14.25" customHeight="1">
      <c r="C382" s="140" t="n"/>
    </row>
    <row r="383" ht="14.25" customHeight="1">
      <c r="C383" s="140" t="n"/>
    </row>
    <row r="384" ht="14.25" customHeight="1">
      <c r="C384" s="140" t="n"/>
    </row>
    <row r="385" ht="14.25" customHeight="1">
      <c r="C385" s="140" t="n"/>
    </row>
    <row r="386" ht="14.25" customHeight="1">
      <c r="C386" s="140" t="n"/>
    </row>
    <row r="387" ht="14.25" customHeight="1">
      <c r="C387" s="140" t="n"/>
    </row>
    <row r="388" ht="14.25" customHeight="1">
      <c r="C388" s="140" t="n"/>
    </row>
    <row r="389" ht="14.25" customHeight="1">
      <c r="C389" s="140" t="n"/>
    </row>
    <row r="390" ht="14.25" customHeight="1">
      <c r="C390" s="140" t="n"/>
    </row>
    <row r="391" ht="14.25" customHeight="1">
      <c r="C391" s="140" t="n"/>
    </row>
    <row r="392" ht="14.25" customHeight="1">
      <c r="C392" s="140" t="n"/>
    </row>
    <row r="393" ht="14.25" customHeight="1">
      <c r="C393" s="140" t="n"/>
    </row>
    <row r="394" ht="14.25" customHeight="1">
      <c r="C394" s="140" t="n"/>
    </row>
    <row r="395" ht="14.25" customHeight="1">
      <c r="C395" s="140" t="n"/>
    </row>
    <row r="396" ht="14.25" customHeight="1">
      <c r="C396" s="140" t="n"/>
    </row>
    <row r="397" ht="14.25" customHeight="1">
      <c r="C397" s="140" t="n"/>
    </row>
    <row r="398" ht="14.25" customHeight="1">
      <c r="C398" s="140" t="n"/>
    </row>
    <row r="399" ht="14.25" customHeight="1">
      <c r="C399" s="140" t="n"/>
    </row>
    <row r="400" ht="14.25" customHeight="1">
      <c r="C400" s="140" t="n"/>
    </row>
    <row r="401" ht="14.25" customHeight="1">
      <c r="C401" s="140" t="n"/>
    </row>
    <row r="402" ht="14.25" customHeight="1">
      <c r="C402" s="140" t="n"/>
    </row>
    <row r="403" ht="14.25" customHeight="1">
      <c r="C403" s="140" t="n"/>
    </row>
    <row r="404" ht="14.25" customHeight="1">
      <c r="C404" s="140" t="n"/>
    </row>
    <row r="405" ht="14.25" customHeight="1">
      <c r="C405" s="140" t="n"/>
    </row>
    <row r="406" ht="14.25" customHeight="1">
      <c r="C406" s="140" t="n"/>
    </row>
    <row r="407" ht="14.25" customHeight="1">
      <c r="C407" s="140" t="n"/>
    </row>
    <row r="408" ht="14.25" customHeight="1">
      <c r="C408" s="140" t="n"/>
    </row>
    <row r="409" ht="14.25" customHeight="1">
      <c r="C409" s="140" t="n"/>
    </row>
    <row r="410" ht="14.25" customHeight="1">
      <c r="C410" s="140" t="n"/>
    </row>
    <row r="411" ht="14.25" customHeight="1">
      <c r="C411" s="140" t="n"/>
    </row>
    <row r="412" ht="14.25" customHeight="1">
      <c r="C412" s="140" t="n"/>
    </row>
    <row r="413" ht="14.25" customHeight="1">
      <c r="C413" s="140" t="n"/>
    </row>
    <row r="414" ht="14.25" customHeight="1">
      <c r="C414" s="140" t="n"/>
    </row>
    <row r="415" ht="14.25" customHeight="1">
      <c r="C415" s="140" t="n"/>
    </row>
    <row r="416" ht="14.25" customHeight="1">
      <c r="C416" s="140" t="n"/>
    </row>
    <row r="417" ht="14.25" customHeight="1">
      <c r="C417" s="140" t="n"/>
    </row>
    <row r="418" ht="14.25" customHeight="1">
      <c r="C418" s="140" t="n"/>
    </row>
    <row r="419" ht="14.25" customHeight="1">
      <c r="C419" s="140" t="n"/>
    </row>
    <row r="420" ht="14.25" customHeight="1">
      <c r="C420" s="140" t="n"/>
    </row>
    <row r="421" ht="14.25" customHeight="1">
      <c r="C421" s="140" t="n"/>
    </row>
    <row r="422" ht="14.25" customHeight="1">
      <c r="C422" s="140" t="n"/>
    </row>
    <row r="423" ht="14.25" customHeight="1">
      <c r="C423" s="140" t="n"/>
    </row>
    <row r="424" ht="14.25" customHeight="1">
      <c r="C424" s="140" t="n"/>
    </row>
    <row r="425" ht="14.25" customHeight="1">
      <c r="C425" s="140" t="n"/>
    </row>
    <row r="426" ht="14.25" customHeight="1">
      <c r="C426" s="140" t="n"/>
    </row>
    <row r="427" ht="14.25" customHeight="1">
      <c r="C427" s="140" t="n"/>
    </row>
    <row r="428" ht="14.25" customHeight="1">
      <c r="C428" s="140" t="n"/>
    </row>
    <row r="429" ht="14.25" customHeight="1">
      <c r="C429" s="140" t="n"/>
    </row>
    <row r="430" ht="14.25" customHeight="1">
      <c r="C430" s="140" t="n"/>
    </row>
    <row r="431" ht="14.25" customHeight="1">
      <c r="C431" s="140" t="n"/>
    </row>
    <row r="432" ht="14.25" customHeight="1">
      <c r="C432" s="140" t="n"/>
    </row>
    <row r="433" ht="14.25" customHeight="1">
      <c r="C433" s="140" t="n"/>
    </row>
    <row r="434" ht="14.25" customHeight="1">
      <c r="C434" s="140" t="n"/>
    </row>
    <row r="435" ht="14.25" customHeight="1">
      <c r="C435" s="140" t="n"/>
    </row>
    <row r="436" ht="14.25" customHeight="1">
      <c r="C436" s="140" t="n"/>
    </row>
    <row r="437" ht="14.25" customHeight="1">
      <c r="C437" s="140" t="n"/>
    </row>
    <row r="438" ht="14.25" customHeight="1">
      <c r="C438" s="140" t="n"/>
    </row>
    <row r="439" ht="14.25" customHeight="1">
      <c r="C439" s="140" t="n"/>
    </row>
    <row r="440" ht="14.25" customHeight="1">
      <c r="C440" s="140" t="n"/>
    </row>
    <row r="441" ht="14.25" customHeight="1">
      <c r="C441" s="140" t="n"/>
    </row>
    <row r="442" ht="14.25" customHeight="1">
      <c r="C442" s="140" t="n"/>
    </row>
    <row r="443" ht="14.25" customHeight="1">
      <c r="C443" s="140" t="n"/>
    </row>
    <row r="444" ht="14.25" customHeight="1">
      <c r="C444" s="140" t="n"/>
    </row>
    <row r="445" ht="14.25" customHeight="1">
      <c r="C445" s="140" t="n"/>
    </row>
    <row r="446" ht="14.25" customHeight="1">
      <c r="C446" s="140" t="n"/>
    </row>
    <row r="447" ht="14.25" customHeight="1">
      <c r="C447" s="140" t="n"/>
    </row>
    <row r="448" ht="14.25" customHeight="1">
      <c r="C448" s="140" t="n"/>
    </row>
    <row r="449" ht="14.25" customHeight="1">
      <c r="C449" s="140" t="n"/>
    </row>
    <row r="450" ht="14.25" customHeight="1">
      <c r="C450" s="140" t="n"/>
    </row>
    <row r="451" ht="14.25" customHeight="1">
      <c r="C451" s="140" t="n"/>
    </row>
    <row r="452" ht="14.25" customHeight="1">
      <c r="C452" s="140" t="n"/>
    </row>
    <row r="453" ht="14.25" customHeight="1">
      <c r="C453" s="140" t="n"/>
    </row>
    <row r="454" ht="14.25" customHeight="1">
      <c r="C454" s="140" t="n"/>
    </row>
    <row r="455" ht="14.25" customHeight="1">
      <c r="C455" s="140" t="n"/>
    </row>
    <row r="456" ht="14.25" customHeight="1">
      <c r="C456" s="140" t="n"/>
    </row>
    <row r="457" ht="14.25" customHeight="1">
      <c r="C457" s="140" t="n"/>
    </row>
    <row r="458" ht="14.25" customHeight="1">
      <c r="C458" s="140" t="n"/>
    </row>
    <row r="459" ht="14.25" customHeight="1">
      <c r="C459" s="140" t="n"/>
    </row>
    <row r="460" ht="14.25" customHeight="1">
      <c r="C460" s="140" t="n"/>
    </row>
    <row r="461" ht="14.25" customHeight="1">
      <c r="C461" s="140" t="n"/>
    </row>
    <row r="462" ht="14.25" customHeight="1">
      <c r="C462" s="140" t="n"/>
    </row>
    <row r="463" ht="14.25" customHeight="1">
      <c r="C463" s="140" t="n"/>
    </row>
    <row r="464" ht="14.25" customHeight="1">
      <c r="C464" s="140" t="n"/>
    </row>
    <row r="465" ht="14.25" customHeight="1">
      <c r="C465" s="140" t="n"/>
    </row>
    <row r="466" ht="14.25" customHeight="1">
      <c r="C466" s="140" t="n"/>
    </row>
    <row r="467" ht="14.25" customHeight="1">
      <c r="C467" s="140" t="n"/>
    </row>
    <row r="468" ht="14.25" customHeight="1">
      <c r="C468" s="140" t="n"/>
    </row>
    <row r="469" ht="14.25" customHeight="1">
      <c r="C469" s="140" t="n"/>
    </row>
    <row r="470" ht="14.25" customHeight="1">
      <c r="C470" s="140" t="n"/>
    </row>
    <row r="471" ht="14.25" customHeight="1">
      <c r="C471" s="140" t="n"/>
    </row>
    <row r="472" ht="14.25" customHeight="1">
      <c r="C472" s="140" t="n"/>
    </row>
    <row r="473" ht="14.25" customHeight="1">
      <c r="C473" s="140" t="n"/>
    </row>
    <row r="474" ht="14.25" customHeight="1">
      <c r="C474" s="140" t="n"/>
    </row>
    <row r="475" ht="14.25" customHeight="1">
      <c r="C475" s="140" t="n"/>
    </row>
    <row r="476" ht="14.25" customHeight="1">
      <c r="C476" s="140" t="n"/>
    </row>
    <row r="477" ht="14.25" customHeight="1">
      <c r="C477" s="140" t="n"/>
    </row>
    <row r="478" ht="14.25" customHeight="1">
      <c r="C478" s="140" t="n"/>
    </row>
    <row r="479" ht="14.25" customHeight="1">
      <c r="C479" s="140" t="n"/>
    </row>
    <row r="480" ht="14.25" customHeight="1">
      <c r="C480" s="140" t="n"/>
    </row>
    <row r="481" ht="14.25" customHeight="1">
      <c r="C481" s="140" t="n"/>
    </row>
    <row r="482" ht="14.25" customHeight="1">
      <c r="C482" s="140" t="n"/>
    </row>
    <row r="483" ht="14.25" customHeight="1">
      <c r="C483" s="140" t="n"/>
    </row>
    <row r="484" ht="14.25" customHeight="1">
      <c r="C484" s="140" t="n"/>
    </row>
    <row r="485" ht="14.25" customHeight="1">
      <c r="C485" s="140" t="n"/>
    </row>
    <row r="486" ht="14.25" customHeight="1">
      <c r="C486" s="140" t="n"/>
    </row>
    <row r="487" ht="14.25" customHeight="1">
      <c r="C487" s="140" t="n"/>
    </row>
    <row r="488" ht="14.25" customHeight="1">
      <c r="C488" s="140" t="n"/>
    </row>
    <row r="489" ht="14.25" customHeight="1">
      <c r="C489" s="140" t="n"/>
    </row>
    <row r="490" ht="14.25" customHeight="1">
      <c r="C490" s="140" t="n"/>
    </row>
    <row r="491" ht="14.25" customHeight="1">
      <c r="C491" s="140" t="n"/>
    </row>
    <row r="492" ht="14.25" customHeight="1">
      <c r="C492" s="140" t="n"/>
    </row>
    <row r="493" ht="14.25" customHeight="1">
      <c r="C493" s="140" t="n"/>
    </row>
    <row r="494" ht="14.25" customHeight="1">
      <c r="C494" s="140" t="n"/>
    </row>
    <row r="495" ht="14.25" customHeight="1">
      <c r="C495" s="140" t="n"/>
    </row>
    <row r="496" ht="14.25" customHeight="1">
      <c r="C496" s="140" t="n"/>
    </row>
    <row r="497" ht="14.25" customHeight="1">
      <c r="C497" s="140" t="n"/>
    </row>
    <row r="498" ht="14.25" customHeight="1">
      <c r="C498" s="140" t="n"/>
    </row>
    <row r="499" ht="14.25" customHeight="1">
      <c r="C499" s="140" t="n"/>
    </row>
    <row r="500" ht="14.25" customHeight="1">
      <c r="C500" s="140" t="n"/>
    </row>
    <row r="501" ht="14.25" customHeight="1">
      <c r="C501" s="140" t="n"/>
    </row>
    <row r="502" ht="14.25" customHeight="1">
      <c r="C502" s="140" t="n"/>
    </row>
    <row r="503" ht="14.25" customHeight="1">
      <c r="C503" s="140" t="n"/>
    </row>
    <row r="504" ht="14.25" customHeight="1">
      <c r="C504" s="140" t="n"/>
    </row>
    <row r="505" ht="14.25" customHeight="1">
      <c r="C505" s="140" t="n"/>
    </row>
    <row r="506" ht="14.25" customHeight="1">
      <c r="C506" s="140" t="n"/>
    </row>
    <row r="507" ht="14.25" customHeight="1">
      <c r="C507" s="140" t="n"/>
    </row>
    <row r="508" ht="14.25" customHeight="1">
      <c r="C508" s="140" t="n"/>
    </row>
    <row r="509" ht="14.25" customHeight="1">
      <c r="C509" s="140" t="n"/>
    </row>
    <row r="510" ht="14.25" customHeight="1">
      <c r="C510" s="140" t="n"/>
    </row>
    <row r="511" ht="14.25" customHeight="1">
      <c r="C511" s="140" t="n"/>
    </row>
    <row r="512" ht="14.25" customHeight="1">
      <c r="C512" s="140" t="n"/>
    </row>
    <row r="513" ht="14.25" customHeight="1">
      <c r="C513" s="140" t="n"/>
    </row>
    <row r="514" ht="14.25" customHeight="1">
      <c r="C514" s="140" t="n"/>
    </row>
    <row r="515" ht="14.25" customHeight="1">
      <c r="C515" s="140" t="n"/>
    </row>
    <row r="516" ht="14.25" customHeight="1">
      <c r="C516" s="140" t="n"/>
    </row>
    <row r="517" ht="14.25" customHeight="1">
      <c r="C517" s="140" t="n"/>
    </row>
    <row r="518" ht="14.25" customHeight="1">
      <c r="C518" s="140" t="n"/>
    </row>
    <row r="519" ht="14.25" customHeight="1">
      <c r="C519" s="140" t="n"/>
    </row>
    <row r="520" ht="14.25" customHeight="1">
      <c r="C520" s="140" t="n"/>
    </row>
    <row r="521" ht="14.25" customHeight="1">
      <c r="C521" s="140" t="n"/>
    </row>
    <row r="522" ht="14.25" customHeight="1">
      <c r="C522" s="140" t="n"/>
    </row>
    <row r="523" ht="14.25" customHeight="1">
      <c r="C523" s="140" t="n"/>
    </row>
    <row r="524" ht="14.25" customHeight="1">
      <c r="C524" s="140" t="n"/>
    </row>
    <row r="525" ht="14.25" customHeight="1">
      <c r="C525" s="140" t="n"/>
    </row>
    <row r="526" ht="14.25" customHeight="1">
      <c r="C526" s="140" t="n"/>
    </row>
    <row r="527" ht="14.25" customHeight="1">
      <c r="C527" s="140" t="n"/>
    </row>
    <row r="528" ht="14.25" customHeight="1">
      <c r="C528" s="140" t="n"/>
    </row>
    <row r="529" ht="14.25" customHeight="1">
      <c r="C529" s="140" t="n"/>
    </row>
    <row r="530" ht="14.25" customHeight="1">
      <c r="C530" s="140" t="n"/>
    </row>
    <row r="531" ht="14.25" customHeight="1">
      <c r="C531" s="140" t="n"/>
    </row>
    <row r="532" ht="14.25" customHeight="1">
      <c r="C532" s="140" t="n"/>
    </row>
    <row r="533" ht="14.25" customHeight="1">
      <c r="C533" s="140" t="n"/>
    </row>
    <row r="534" ht="14.25" customHeight="1">
      <c r="C534" s="140" t="n"/>
    </row>
    <row r="535" ht="14.25" customHeight="1">
      <c r="C535" s="140" t="n"/>
    </row>
    <row r="536" ht="14.25" customHeight="1">
      <c r="C536" s="140" t="n"/>
    </row>
    <row r="537" ht="14.25" customHeight="1">
      <c r="C537" s="140" t="n"/>
    </row>
    <row r="538" ht="14.25" customHeight="1">
      <c r="C538" s="140" t="n"/>
    </row>
    <row r="539" ht="14.25" customHeight="1">
      <c r="C539" s="140" t="n"/>
    </row>
    <row r="540" ht="14.25" customHeight="1">
      <c r="C540" s="140" t="n"/>
    </row>
    <row r="541" ht="14.25" customHeight="1">
      <c r="C541" s="140" t="n"/>
    </row>
    <row r="542" ht="14.25" customHeight="1">
      <c r="C542" s="140" t="n"/>
    </row>
    <row r="543" ht="14.25" customHeight="1">
      <c r="C543" s="140" t="n"/>
    </row>
    <row r="544" ht="14.25" customHeight="1">
      <c r="C544" s="140" t="n"/>
    </row>
    <row r="545" ht="14.25" customHeight="1">
      <c r="C545" s="140" t="n"/>
    </row>
    <row r="546" ht="14.25" customHeight="1">
      <c r="C546" s="140" t="n"/>
    </row>
    <row r="547" ht="14.25" customHeight="1">
      <c r="C547" s="140" t="n"/>
    </row>
    <row r="548" ht="14.25" customHeight="1">
      <c r="C548" s="140" t="n"/>
    </row>
    <row r="549" ht="14.25" customHeight="1">
      <c r="C549" s="140" t="n"/>
    </row>
    <row r="550" ht="14.25" customHeight="1">
      <c r="C550" s="140" t="n"/>
    </row>
    <row r="551" ht="14.25" customHeight="1">
      <c r="C551" s="140" t="n"/>
    </row>
    <row r="552" ht="14.25" customHeight="1">
      <c r="C552" s="140" t="n"/>
    </row>
    <row r="553" ht="14.25" customHeight="1">
      <c r="C553" s="140" t="n"/>
    </row>
    <row r="554" ht="14.25" customHeight="1">
      <c r="C554" s="140" t="n"/>
    </row>
    <row r="555" ht="14.25" customHeight="1">
      <c r="C555" s="140" t="n"/>
    </row>
    <row r="556" ht="14.25" customHeight="1">
      <c r="C556" s="140" t="n"/>
    </row>
    <row r="557" ht="14.25" customHeight="1">
      <c r="C557" s="140" t="n"/>
    </row>
    <row r="558" ht="14.25" customHeight="1">
      <c r="C558" s="140" t="n"/>
    </row>
    <row r="559" ht="14.25" customHeight="1">
      <c r="C559" s="140" t="n"/>
    </row>
    <row r="560" ht="14.25" customHeight="1">
      <c r="C560" s="140" t="n"/>
    </row>
    <row r="561" ht="14.25" customHeight="1">
      <c r="C561" s="140" t="n"/>
    </row>
    <row r="562" ht="14.25" customHeight="1">
      <c r="C562" s="140" t="n"/>
    </row>
    <row r="563" ht="14.25" customHeight="1">
      <c r="C563" s="140" t="n"/>
    </row>
    <row r="564" ht="14.25" customHeight="1">
      <c r="C564" s="140" t="n"/>
    </row>
    <row r="565" ht="14.25" customHeight="1">
      <c r="C565" s="140" t="n"/>
    </row>
    <row r="566" ht="14.25" customHeight="1">
      <c r="C566" s="140" t="n"/>
    </row>
    <row r="567" ht="14.25" customHeight="1">
      <c r="C567" s="140" t="n"/>
    </row>
    <row r="568" ht="14.25" customHeight="1">
      <c r="C568" s="140" t="n"/>
    </row>
    <row r="569" ht="14.25" customHeight="1">
      <c r="C569" s="140" t="n"/>
    </row>
    <row r="570" ht="14.25" customHeight="1">
      <c r="C570" s="140" t="n"/>
    </row>
    <row r="571" ht="14.25" customHeight="1">
      <c r="C571" s="140" t="n"/>
    </row>
    <row r="572" ht="14.25" customHeight="1">
      <c r="C572" s="140" t="n"/>
    </row>
    <row r="573" ht="14.25" customHeight="1">
      <c r="C573" s="140" t="n"/>
    </row>
    <row r="574" ht="14.25" customHeight="1">
      <c r="C574" s="140" t="n"/>
    </row>
    <row r="575" ht="14.25" customHeight="1">
      <c r="C575" s="140" t="n"/>
    </row>
    <row r="576" ht="14.25" customHeight="1">
      <c r="C576" s="140" t="n"/>
    </row>
    <row r="577" ht="14.25" customHeight="1">
      <c r="C577" s="140" t="n"/>
    </row>
    <row r="578" ht="14.25" customHeight="1">
      <c r="C578" s="140" t="n"/>
    </row>
    <row r="579" ht="14.25" customHeight="1">
      <c r="C579" s="140" t="n"/>
    </row>
    <row r="580" ht="14.25" customHeight="1">
      <c r="C580" s="140" t="n"/>
    </row>
    <row r="581" ht="14.25" customHeight="1">
      <c r="C581" s="140" t="n"/>
    </row>
    <row r="582" ht="14.25" customHeight="1">
      <c r="C582" s="140" t="n"/>
    </row>
    <row r="583" ht="14.25" customHeight="1">
      <c r="C583" s="140" t="n"/>
    </row>
    <row r="584" ht="14.25" customHeight="1">
      <c r="C584" s="140" t="n"/>
    </row>
    <row r="585" ht="14.25" customHeight="1">
      <c r="C585" s="140" t="n"/>
    </row>
    <row r="586" ht="14.25" customHeight="1">
      <c r="C586" s="140" t="n"/>
    </row>
    <row r="587" ht="14.25" customHeight="1">
      <c r="C587" s="140" t="n"/>
    </row>
    <row r="588" ht="14.25" customHeight="1">
      <c r="C588" s="140" t="n"/>
    </row>
    <row r="589" ht="14.25" customHeight="1">
      <c r="C589" s="140" t="n"/>
    </row>
    <row r="590" ht="14.25" customHeight="1">
      <c r="C590" s="140" t="n"/>
    </row>
    <row r="591" ht="14.25" customHeight="1">
      <c r="C591" s="140" t="n"/>
    </row>
    <row r="592" ht="14.25" customHeight="1">
      <c r="C592" s="140" t="n"/>
    </row>
    <row r="593" ht="14.25" customHeight="1">
      <c r="C593" s="140" t="n"/>
    </row>
    <row r="594" ht="14.25" customHeight="1">
      <c r="C594" s="140" t="n"/>
    </row>
    <row r="595" ht="14.25" customHeight="1">
      <c r="C595" s="140" t="n"/>
    </row>
    <row r="596" ht="14.25" customHeight="1">
      <c r="C596" s="140" t="n"/>
    </row>
    <row r="597" ht="14.25" customHeight="1">
      <c r="C597" s="140" t="n"/>
    </row>
    <row r="598" ht="14.25" customHeight="1">
      <c r="C598" s="140" t="n"/>
    </row>
    <row r="599" ht="14.25" customHeight="1">
      <c r="C599" s="140" t="n"/>
    </row>
    <row r="600" ht="14.25" customHeight="1">
      <c r="C600" s="140" t="n"/>
    </row>
    <row r="601" ht="14.25" customHeight="1">
      <c r="C601" s="140" t="n"/>
    </row>
    <row r="602" ht="14.25" customHeight="1">
      <c r="C602" s="140" t="n"/>
    </row>
    <row r="603" ht="14.25" customHeight="1">
      <c r="C603" s="140" t="n"/>
    </row>
    <row r="604" ht="14.25" customHeight="1">
      <c r="C604" s="140" t="n"/>
    </row>
    <row r="605" ht="14.25" customHeight="1">
      <c r="C605" s="140" t="n"/>
    </row>
    <row r="606" ht="14.25" customHeight="1">
      <c r="C606" s="140" t="n"/>
    </row>
    <row r="607" ht="14.25" customHeight="1">
      <c r="C607" s="140" t="n"/>
    </row>
    <row r="608" ht="14.25" customHeight="1">
      <c r="C608" s="140" t="n"/>
    </row>
    <row r="609" ht="14.25" customHeight="1">
      <c r="C609" s="140" t="n"/>
    </row>
    <row r="610" ht="14.25" customHeight="1">
      <c r="C610" s="140" t="n"/>
    </row>
    <row r="611" ht="14.25" customHeight="1">
      <c r="C611" s="140" t="n"/>
    </row>
    <row r="612" ht="14.25" customHeight="1">
      <c r="C612" s="140" t="n"/>
    </row>
    <row r="613" ht="14.25" customHeight="1">
      <c r="C613" s="140" t="n"/>
    </row>
    <row r="614" ht="14.25" customHeight="1">
      <c r="C614" s="140" t="n"/>
    </row>
    <row r="615" ht="14.25" customHeight="1">
      <c r="C615" s="140" t="n"/>
    </row>
    <row r="616" ht="14.25" customHeight="1">
      <c r="C616" s="140" t="n"/>
    </row>
    <row r="617" ht="14.25" customHeight="1">
      <c r="C617" s="140" t="n"/>
    </row>
    <row r="618" ht="14.25" customHeight="1">
      <c r="C618" s="140" t="n"/>
    </row>
    <row r="619" ht="14.25" customHeight="1">
      <c r="C619" s="140" t="n"/>
    </row>
    <row r="620" ht="14.25" customHeight="1">
      <c r="C620" s="140" t="n"/>
    </row>
    <row r="621" ht="14.25" customHeight="1">
      <c r="C621" s="140" t="n"/>
    </row>
    <row r="622" ht="14.25" customHeight="1">
      <c r="C622" s="140" t="n"/>
    </row>
    <row r="623" ht="14.25" customHeight="1">
      <c r="C623" s="140" t="n"/>
    </row>
    <row r="624" ht="14.25" customHeight="1">
      <c r="C624" s="140" t="n"/>
    </row>
    <row r="625" ht="14.25" customHeight="1">
      <c r="C625" s="140" t="n"/>
    </row>
    <row r="626" ht="14.25" customHeight="1">
      <c r="C626" s="140" t="n"/>
    </row>
    <row r="627" ht="14.25" customHeight="1">
      <c r="C627" s="140" t="n"/>
    </row>
    <row r="628" ht="14.25" customHeight="1">
      <c r="C628" s="140" t="n"/>
    </row>
    <row r="629" ht="14.25" customHeight="1">
      <c r="C629" s="140" t="n"/>
    </row>
    <row r="630" ht="14.25" customHeight="1">
      <c r="C630" s="140" t="n"/>
    </row>
    <row r="631" ht="14.25" customHeight="1">
      <c r="C631" s="140" t="n"/>
    </row>
    <row r="632" ht="14.25" customHeight="1">
      <c r="C632" s="140" t="n"/>
    </row>
    <row r="633" ht="14.25" customHeight="1">
      <c r="C633" s="140" t="n"/>
    </row>
    <row r="634" ht="14.25" customHeight="1">
      <c r="C634" s="140" t="n"/>
    </row>
    <row r="635" ht="14.25" customHeight="1">
      <c r="C635" s="140" t="n"/>
    </row>
    <row r="636" ht="14.25" customHeight="1">
      <c r="C636" s="140" t="n"/>
    </row>
    <row r="637" ht="14.25" customHeight="1">
      <c r="C637" s="140" t="n"/>
    </row>
    <row r="638" ht="14.25" customHeight="1">
      <c r="C638" s="140" t="n"/>
    </row>
    <row r="639" ht="14.25" customHeight="1">
      <c r="C639" s="140" t="n"/>
    </row>
    <row r="640" ht="14.25" customHeight="1">
      <c r="C640" s="140" t="n"/>
    </row>
    <row r="641" ht="14.25" customHeight="1">
      <c r="C641" s="140" t="n"/>
    </row>
    <row r="642" ht="14.25" customHeight="1">
      <c r="C642" s="140" t="n"/>
    </row>
    <row r="643" ht="14.25" customHeight="1">
      <c r="C643" s="140" t="n"/>
    </row>
    <row r="644" ht="14.25" customHeight="1">
      <c r="C644" s="140" t="n"/>
    </row>
    <row r="645" ht="14.25" customHeight="1">
      <c r="C645" s="140" t="n"/>
    </row>
    <row r="646" ht="14.25" customHeight="1">
      <c r="C646" s="140" t="n"/>
    </row>
    <row r="647" ht="14.25" customHeight="1">
      <c r="C647" s="140" t="n"/>
    </row>
    <row r="648" ht="14.25" customHeight="1">
      <c r="C648" s="140" t="n"/>
    </row>
    <row r="649" ht="14.25" customHeight="1">
      <c r="C649" s="140" t="n"/>
    </row>
    <row r="650" ht="14.25" customHeight="1">
      <c r="C650" s="140" t="n"/>
    </row>
    <row r="651" ht="14.25" customHeight="1">
      <c r="C651" s="140" t="n"/>
    </row>
    <row r="652" ht="14.25" customHeight="1">
      <c r="C652" s="140" t="n"/>
    </row>
    <row r="653" ht="14.25" customHeight="1">
      <c r="C653" s="140" t="n"/>
    </row>
    <row r="654" ht="14.25" customHeight="1">
      <c r="C654" s="140" t="n"/>
    </row>
    <row r="655" ht="14.25" customHeight="1">
      <c r="C655" s="140" t="n"/>
    </row>
    <row r="656" ht="14.25" customHeight="1">
      <c r="C656" s="140" t="n"/>
    </row>
    <row r="657" ht="14.25" customHeight="1">
      <c r="C657" s="140" t="n"/>
    </row>
    <row r="658" ht="14.25" customHeight="1">
      <c r="C658" s="140" t="n"/>
    </row>
    <row r="659" ht="14.25" customHeight="1">
      <c r="C659" s="140" t="n"/>
    </row>
    <row r="660" ht="14.25" customHeight="1">
      <c r="C660" s="140" t="n"/>
    </row>
    <row r="661" ht="14.25" customHeight="1">
      <c r="C661" s="140" t="n"/>
    </row>
    <row r="662" ht="14.25" customHeight="1">
      <c r="C662" s="140" t="n"/>
    </row>
    <row r="663" ht="14.25" customHeight="1">
      <c r="C663" s="140" t="n"/>
    </row>
    <row r="664" ht="14.25" customHeight="1">
      <c r="C664" s="140" t="n"/>
    </row>
    <row r="665" ht="14.25" customHeight="1">
      <c r="C665" s="140" t="n"/>
    </row>
    <row r="666" ht="14.25" customHeight="1">
      <c r="C666" s="140" t="n"/>
    </row>
    <row r="667" ht="14.25" customHeight="1">
      <c r="C667" s="140" t="n"/>
    </row>
    <row r="668" ht="14.25" customHeight="1">
      <c r="C668" s="140" t="n"/>
    </row>
    <row r="669" ht="14.25" customHeight="1">
      <c r="C669" s="140" t="n"/>
    </row>
    <row r="670" ht="14.25" customHeight="1">
      <c r="C670" s="140" t="n"/>
    </row>
    <row r="671" ht="14.25" customHeight="1">
      <c r="C671" s="140" t="n"/>
    </row>
    <row r="672" ht="14.25" customHeight="1">
      <c r="C672" s="140" t="n"/>
    </row>
    <row r="673" ht="14.25" customHeight="1">
      <c r="C673" s="140" t="n"/>
    </row>
    <row r="674" ht="14.25" customHeight="1">
      <c r="C674" s="140" t="n"/>
    </row>
    <row r="675" ht="14.25" customHeight="1">
      <c r="C675" s="140" t="n"/>
    </row>
    <row r="676" ht="14.25" customHeight="1">
      <c r="C676" s="140" t="n"/>
    </row>
    <row r="677" ht="14.25" customHeight="1">
      <c r="C677" s="140" t="n"/>
    </row>
    <row r="678" ht="14.25" customHeight="1">
      <c r="C678" s="140" t="n"/>
    </row>
    <row r="679" ht="14.25" customHeight="1">
      <c r="C679" s="140" t="n"/>
    </row>
    <row r="680" ht="14.25" customHeight="1">
      <c r="C680" s="140" t="n"/>
    </row>
    <row r="681" ht="14.25" customHeight="1">
      <c r="C681" s="140" t="n"/>
    </row>
    <row r="682" ht="14.25" customHeight="1">
      <c r="C682" s="140" t="n"/>
    </row>
    <row r="683" ht="14.25" customHeight="1">
      <c r="C683" s="140" t="n"/>
    </row>
    <row r="684" ht="14.25" customHeight="1">
      <c r="C684" s="140" t="n"/>
    </row>
    <row r="685" ht="14.25" customHeight="1">
      <c r="C685" s="140" t="n"/>
    </row>
    <row r="686" ht="14.25" customHeight="1">
      <c r="C686" s="140" t="n"/>
    </row>
    <row r="687" ht="14.25" customHeight="1">
      <c r="C687" s="140" t="n"/>
    </row>
    <row r="688" ht="14.25" customHeight="1">
      <c r="C688" s="140" t="n"/>
    </row>
    <row r="689" ht="14.25" customHeight="1">
      <c r="C689" s="140" t="n"/>
    </row>
    <row r="690" ht="14.25" customHeight="1">
      <c r="C690" s="140" t="n"/>
    </row>
    <row r="691" ht="14.25" customHeight="1">
      <c r="C691" s="140" t="n"/>
    </row>
    <row r="692" ht="14.25" customHeight="1">
      <c r="C692" s="140" t="n"/>
    </row>
    <row r="693" ht="14.25" customHeight="1">
      <c r="C693" s="140" t="n"/>
    </row>
    <row r="694" ht="14.25" customHeight="1">
      <c r="C694" s="140" t="n"/>
    </row>
    <row r="695" ht="14.25" customHeight="1">
      <c r="C695" s="140" t="n"/>
    </row>
    <row r="696" ht="14.25" customHeight="1">
      <c r="C696" s="140" t="n"/>
    </row>
    <row r="697" ht="14.25" customHeight="1">
      <c r="C697" s="140" t="n"/>
    </row>
    <row r="698" ht="14.25" customHeight="1">
      <c r="C698" s="140" t="n"/>
    </row>
    <row r="699" ht="14.25" customHeight="1">
      <c r="C699" s="140" t="n"/>
    </row>
    <row r="700" ht="14.25" customHeight="1">
      <c r="C700" s="140" t="n"/>
    </row>
    <row r="701" ht="14.25" customHeight="1">
      <c r="C701" s="140" t="n"/>
    </row>
    <row r="702" ht="14.25" customHeight="1">
      <c r="C702" s="140" t="n"/>
    </row>
    <row r="703" ht="14.25" customHeight="1">
      <c r="C703" s="140" t="n"/>
    </row>
    <row r="704" ht="14.25" customHeight="1">
      <c r="C704" s="140" t="n"/>
    </row>
    <row r="705" ht="14.25" customHeight="1">
      <c r="C705" s="140" t="n"/>
    </row>
    <row r="706" ht="14.25" customHeight="1">
      <c r="C706" s="140" t="n"/>
    </row>
    <row r="707" ht="14.25" customHeight="1">
      <c r="C707" s="140" t="n"/>
    </row>
    <row r="708" ht="14.25" customHeight="1">
      <c r="C708" s="140" t="n"/>
    </row>
    <row r="709" ht="14.25" customHeight="1">
      <c r="C709" s="140" t="n"/>
    </row>
    <row r="710" ht="14.25" customHeight="1">
      <c r="C710" s="140" t="n"/>
    </row>
    <row r="711" ht="14.25" customHeight="1">
      <c r="C711" s="140" t="n"/>
    </row>
    <row r="712" ht="14.25" customHeight="1">
      <c r="C712" s="140" t="n"/>
    </row>
    <row r="713" ht="14.25" customHeight="1">
      <c r="C713" s="140" t="n"/>
    </row>
    <row r="714" ht="14.25" customHeight="1">
      <c r="C714" s="140" t="n"/>
    </row>
    <row r="715" ht="14.25" customHeight="1">
      <c r="C715" s="140" t="n"/>
    </row>
    <row r="716" ht="14.25" customHeight="1">
      <c r="C716" s="140" t="n"/>
    </row>
    <row r="717" ht="14.25" customHeight="1">
      <c r="C717" s="140" t="n"/>
    </row>
    <row r="718" ht="14.25" customHeight="1">
      <c r="C718" s="140" t="n"/>
    </row>
    <row r="719" ht="14.25" customHeight="1">
      <c r="C719" s="140" t="n"/>
    </row>
    <row r="720" ht="14.25" customHeight="1">
      <c r="C720" s="140" t="n"/>
    </row>
    <row r="721" ht="14.25" customHeight="1">
      <c r="C721" s="140" t="n"/>
    </row>
    <row r="722" ht="14.25" customHeight="1">
      <c r="C722" s="140" t="n"/>
    </row>
    <row r="723" ht="14.25" customHeight="1">
      <c r="C723" s="140" t="n"/>
    </row>
    <row r="724" ht="14.25" customHeight="1">
      <c r="C724" s="140" t="n"/>
    </row>
    <row r="725" ht="14.25" customHeight="1">
      <c r="C725" s="140" t="n"/>
    </row>
    <row r="726" ht="14.25" customHeight="1">
      <c r="C726" s="140" t="n"/>
    </row>
    <row r="727" ht="14.25" customHeight="1">
      <c r="C727" s="140" t="n"/>
    </row>
    <row r="728" ht="14.25" customHeight="1">
      <c r="C728" s="140" t="n"/>
    </row>
    <row r="729" ht="14.25" customHeight="1">
      <c r="C729" s="140" t="n"/>
    </row>
    <row r="730" ht="14.25" customHeight="1">
      <c r="C730" s="140" t="n"/>
    </row>
    <row r="731" ht="14.25" customHeight="1">
      <c r="C731" s="140" t="n"/>
    </row>
    <row r="732" ht="14.25" customHeight="1">
      <c r="C732" s="140" t="n"/>
    </row>
    <row r="733" ht="14.25" customHeight="1">
      <c r="C733" s="140" t="n"/>
    </row>
    <row r="734" ht="14.25" customHeight="1">
      <c r="C734" s="140" t="n"/>
    </row>
    <row r="735" ht="14.25" customHeight="1">
      <c r="C735" s="140" t="n"/>
    </row>
    <row r="736" ht="14.25" customHeight="1">
      <c r="C736" s="140" t="n"/>
    </row>
    <row r="737" ht="14.25" customHeight="1">
      <c r="C737" s="140" t="n"/>
    </row>
    <row r="738" ht="14.25" customHeight="1">
      <c r="C738" s="140" t="n"/>
    </row>
    <row r="739" ht="14.25" customHeight="1">
      <c r="C739" s="140" t="n"/>
    </row>
    <row r="740" ht="14.25" customHeight="1">
      <c r="C740" s="140" t="n"/>
    </row>
    <row r="741" ht="14.25" customHeight="1">
      <c r="C741" s="140" t="n"/>
    </row>
    <row r="742" ht="14.25" customHeight="1">
      <c r="C742" s="140" t="n"/>
    </row>
    <row r="743" ht="14.25" customHeight="1">
      <c r="C743" s="140" t="n"/>
    </row>
    <row r="744" ht="14.25" customHeight="1">
      <c r="C744" s="140" t="n"/>
    </row>
    <row r="745" ht="14.25" customHeight="1">
      <c r="C745" s="140" t="n"/>
    </row>
    <row r="746" ht="14.25" customHeight="1">
      <c r="C746" s="140" t="n"/>
    </row>
    <row r="747" ht="14.25" customHeight="1">
      <c r="C747" s="140" t="n"/>
    </row>
    <row r="748" ht="14.25" customHeight="1">
      <c r="C748" s="140" t="n"/>
    </row>
    <row r="749" ht="14.25" customHeight="1">
      <c r="C749" s="140" t="n"/>
    </row>
    <row r="750" ht="14.25" customHeight="1">
      <c r="C750" s="140" t="n"/>
    </row>
    <row r="751" ht="14.25" customHeight="1">
      <c r="C751" s="140" t="n"/>
    </row>
    <row r="752" ht="14.25" customHeight="1">
      <c r="C752" s="140" t="n"/>
    </row>
    <row r="753" ht="14.25" customHeight="1">
      <c r="C753" s="140" t="n"/>
    </row>
    <row r="754" ht="14.25" customHeight="1">
      <c r="C754" s="140" t="n"/>
    </row>
    <row r="755" ht="14.25" customHeight="1">
      <c r="C755" s="140" t="n"/>
    </row>
    <row r="756" ht="14.25" customHeight="1">
      <c r="C756" s="140" t="n"/>
    </row>
    <row r="757" ht="14.25" customHeight="1">
      <c r="C757" s="140" t="n"/>
    </row>
    <row r="758" ht="14.25" customHeight="1">
      <c r="C758" s="140" t="n"/>
    </row>
    <row r="759" ht="14.25" customHeight="1">
      <c r="C759" s="140" t="n"/>
    </row>
    <row r="760" ht="14.25" customHeight="1">
      <c r="C760" s="140" t="n"/>
    </row>
    <row r="761" ht="14.25" customHeight="1">
      <c r="C761" s="140" t="n"/>
    </row>
    <row r="762" ht="14.25" customHeight="1">
      <c r="C762" s="140" t="n"/>
    </row>
    <row r="763" ht="14.25" customHeight="1">
      <c r="C763" s="140" t="n"/>
    </row>
    <row r="764" ht="14.25" customHeight="1">
      <c r="C764" s="140" t="n"/>
    </row>
    <row r="765" ht="14.25" customHeight="1">
      <c r="C765" s="140" t="n"/>
    </row>
    <row r="766" ht="14.25" customHeight="1">
      <c r="C766" s="140" t="n"/>
    </row>
    <row r="767" ht="14.25" customHeight="1">
      <c r="C767" s="140" t="n"/>
    </row>
    <row r="768" ht="14.25" customHeight="1">
      <c r="C768" s="140" t="n"/>
    </row>
    <row r="769" ht="14.25" customHeight="1">
      <c r="C769" s="140" t="n"/>
    </row>
    <row r="770" ht="14.25" customHeight="1">
      <c r="C770" s="140" t="n"/>
    </row>
    <row r="771" ht="14.25" customHeight="1">
      <c r="C771" s="140" t="n"/>
    </row>
    <row r="772" ht="14.25" customHeight="1">
      <c r="C772" s="140" t="n"/>
    </row>
    <row r="773" ht="14.25" customHeight="1">
      <c r="C773" s="140" t="n"/>
    </row>
    <row r="774" ht="14.25" customHeight="1">
      <c r="C774" s="140" t="n"/>
    </row>
    <row r="775" ht="14.25" customHeight="1">
      <c r="C775" s="140" t="n"/>
    </row>
    <row r="776" ht="14.25" customHeight="1">
      <c r="C776" s="140" t="n"/>
    </row>
    <row r="777" ht="14.25" customHeight="1">
      <c r="C777" s="140" t="n"/>
    </row>
    <row r="778" ht="14.25" customHeight="1">
      <c r="C778" s="140" t="n"/>
    </row>
    <row r="779" ht="14.25" customHeight="1">
      <c r="C779" s="140" t="n"/>
    </row>
    <row r="780" ht="14.25" customHeight="1">
      <c r="C780" s="140" t="n"/>
    </row>
    <row r="781" ht="14.25" customHeight="1">
      <c r="C781" s="140" t="n"/>
    </row>
    <row r="782" ht="14.25" customHeight="1">
      <c r="C782" s="140" t="n"/>
    </row>
    <row r="783" ht="14.25" customHeight="1">
      <c r="C783" s="140" t="n"/>
    </row>
    <row r="784" ht="14.25" customHeight="1">
      <c r="C784" s="140" t="n"/>
    </row>
    <row r="785" ht="14.25" customHeight="1">
      <c r="C785" s="140" t="n"/>
    </row>
    <row r="786" ht="14.25" customHeight="1">
      <c r="C786" s="140" t="n"/>
    </row>
    <row r="787" ht="14.25" customHeight="1">
      <c r="C787" s="140" t="n"/>
    </row>
    <row r="788" ht="14.25" customHeight="1">
      <c r="C788" s="140" t="n"/>
    </row>
    <row r="789" ht="14.25" customHeight="1">
      <c r="C789" s="140" t="n"/>
    </row>
    <row r="790" ht="14.25" customHeight="1">
      <c r="C790" s="140" t="n"/>
    </row>
    <row r="791" ht="14.25" customHeight="1">
      <c r="C791" s="140" t="n"/>
    </row>
    <row r="792" ht="14.25" customHeight="1">
      <c r="C792" s="140" t="n"/>
    </row>
    <row r="793" ht="14.25" customHeight="1">
      <c r="C793" s="140" t="n"/>
    </row>
    <row r="794" ht="14.25" customHeight="1">
      <c r="C794" s="140" t="n"/>
    </row>
    <row r="795" ht="14.25" customHeight="1">
      <c r="C795" s="140" t="n"/>
    </row>
    <row r="796" ht="14.25" customHeight="1">
      <c r="C796" s="140" t="n"/>
    </row>
    <row r="797" ht="14.25" customHeight="1">
      <c r="C797" s="140" t="n"/>
    </row>
    <row r="798" ht="14.25" customHeight="1">
      <c r="C798" s="140" t="n"/>
    </row>
    <row r="799" ht="14.25" customHeight="1">
      <c r="C799" s="140" t="n"/>
    </row>
    <row r="800" ht="14.25" customHeight="1">
      <c r="C800" s="140" t="n"/>
    </row>
    <row r="801" ht="14.25" customHeight="1">
      <c r="C801" s="140" t="n"/>
    </row>
    <row r="802" ht="14.25" customHeight="1">
      <c r="C802" s="140" t="n"/>
    </row>
    <row r="803" ht="14.25" customHeight="1">
      <c r="C803" s="140" t="n"/>
    </row>
    <row r="804" ht="14.25" customHeight="1">
      <c r="C804" s="140" t="n"/>
    </row>
    <row r="805" ht="14.25" customHeight="1">
      <c r="C805" s="140" t="n"/>
    </row>
    <row r="806" ht="14.25" customHeight="1">
      <c r="C806" s="140" t="n"/>
    </row>
    <row r="807" ht="14.25" customHeight="1">
      <c r="C807" s="140" t="n"/>
    </row>
    <row r="808" ht="14.25" customHeight="1">
      <c r="C808" s="140" t="n"/>
    </row>
    <row r="809" ht="14.25" customHeight="1">
      <c r="C809" s="140" t="n"/>
    </row>
    <row r="810" ht="14.25" customHeight="1">
      <c r="C810" s="140" t="n"/>
    </row>
    <row r="811" ht="14.25" customHeight="1">
      <c r="C811" s="140" t="n"/>
    </row>
    <row r="812" ht="14.25" customHeight="1">
      <c r="C812" s="140" t="n"/>
    </row>
    <row r="813" ht="14.25" customHeight="1">
      <c r="C813" s="140" t="n"/>
    </row>
    <row r="814" ht="14.25" customHeight="1">
      <c r="C814" s="140" t="n"/>
    </row>
    <row r="815" ht="14.25" customHeight="1">
      <c r="C815" s="140" t="n"/>
    </row>
    <row r="816" ht="14.25" customHeight="1">
      <c r="C816" s="140" t="n"/>
    </row>
    <row r="817" ht="14.25" customHeight="1">
      <c r="C817" s="140" t="n"/>
    </row>
    <row r="818" ht="14.25" customHeight="1">
      <c r="C818" s="140" t="n"/>
    </row>
    <row r="819" ht="14.25" customHeight="1">
      <c r="C819" s="140" t="n"/>
    </row>
    <row r="820" ht="14.25" customHeight="1">
      <c r="C820" s="140" t="n"/>
    </row>
    <row r="821" ht="14.25" customHeight="1">
      <c r="C821" s="140" t="n"/>
    </row>
    <row r="822" ht="14.25" customHeight="1">
      <c r="C822" s="140" t="n"/>
    </row>
    <row r="823" ht="14.25" customHeight="1">
      <c r="C823" s="140" t="n"/>
    </row>
    <row r="824" ht="14.25" customHeight="1">
      <c r="C824" s="140" t="n"/>
    </row>
    <row r="825" ht="14.25" customHeight="1">
      <c r="C825" s="140" t="n"/>
    </row>
    <row r="826" ht="14.25" customHeight="1">
      <c r="C826" s="140" t="n"/>
    </row>
    <row r="827" ht="14.25" customHeight="1">
      <c r="C827" s="140" t="n"/>
    </row>
    <row r="828" ht="14.25" customHeight="1">
      <c r="C828" s="140" t="n"/>
    </row>
    <row r="829" ht="14.25" customHeight="1">
      <c r="C829" s="140" t="n"/>
    </row>
    <row r="830" ht="14.25" customHeight="1">
      <c r="C830" s="140" t="n"/>
    </row>
    <row r="831" ht="14.25" customHeight="1">
      <c r="C831" s="140" t="n"/>
    </row>
    <row r="832" ht="14.25" customHeight="1">
      <c r="C832" s="140" t="n"/>
    </row>
    <row r="833" ht="14.25" customHeight="1">
      <c r="C833" s="140" t="n"/>
    </row>
    <row r="834" ht="14.25" customHeight="1">
      <c r="C834" s="140" t="n"/>
    </row>
    <row r="835" ht="14.25" customHeight="1">
      <c r="C835" s="140" t="n"/>
    </row>
    <row r="836" ht="14.25" customHeight="1">
      <c r="C836" s="140" t="n"/>
    </row>
    <row r="837" ht="14.25" customHeight="1">
      <c r="C837" s="140" t="n"/>
    </row>
    <row r="838" ht="14.25" customHeight="1">
      <c r="C838" s="140" t="n"/>
    </row>
    <row r="839" ht="14.25" customHeight="1">
      <c r="C839" s="140" t="n"/>
    </row>
    <row r="840" ht="14.25" customHeight="1">
      <c r="C840" s="140" t="n"/>
    </row>
    <row r="841" ht="14.25" customHeight="1">
      <c r="C841" s="140" t="n"/>
    </row>
    <row r="842" ht="14.25" customHeight="1">
      <c r="C842" s="140" t="n"/>
    </row>
    <row r="843" ht="14.25" customHeight="1">
      <c r="C843" s="140" t="n"/>
    </row>
    <row r="844" ht="14.25" customHeight="1">
      <c r="C844" s="140" t="n"/>
    </row>
    <row r="845" ht="14.25" customHeight="1">
      <c r="C845" s="140" t="n"/>
    </row>
    <row r="846" ht="14.25" customHeight="1">
      <c r="C846" s="140" t="n"/>
    </row>
    <row r="847" ht="14.25" customHeight="1">
      <c r="C847" s="140" t="n"/>
    </row>
    <row r="848" ht="14.25" customHeight="1">
      <c r="C848" s="140" t="n"/>
    </row>
    <row r="849" ht="14.25" customHeight="1">
      <c r="C849" s="140" t="n"/>
    </row>
    <row r="850" ht="14.25" customHeight="1">
      <c r="C850" s="140" t="n"/>
    </row>
    <row r="851" ht="14.25" customHeight="1">
      <c r="C851" s="140" t="n"/>
    </row>
    <row r="852" ht="14.25" customHeight="1">
      <c r="C852" s="140" t="n"/>
    </row>
    <row r="853" ht="14.25" customHeight="1">
      <c r="C853" s="140" t="n"/>
    </row>
    <row r="854" ht="14.25" customHeight="1">
      <c r="C854" s="140" t="n"/>
    </row>
    <row r="855" ht="14.25" customHeight="1">
      <c r="C855" s="140" t="n"/>
    </row>
    <row r="856" ht="14.25" customHeight="1">
      <c r="C856" s="140" t="n"/>
    </row>
    <row r="857" ht="14.25" customHeight="1">
      <c r="C857" s="140" t="n"/>
    </row>
    <row r="858" ht="14.25" customHeight="1">
      <c r="C858" s="140" t="n"/>
    </row>
    <row r="859" ht="14.25" customHeight="1">
      <c r="C859" s="140" t="n"/>
    </row>
    <row r="860" ht="14.25" customHeight="1">
      <c r="C860" s="140" t="n"/>
    </row>
    <row r="861" ht="14.25" customHeight="1">
      <c r="C861" s="140" t="n"/>
    </row>
    <row r="862" ht="14.25" customHeight="1">
      <c r="C862" s="140" t="n"/>
    </row>
    <row r="863" ht="14.25" customHeight="1">
      <c r="C863" s="140" t="n"/>
    </row>
    <row r="864" ht="14.25" customHeight="1">
      <c r="C864" s="140" t="n"/>
    </row>
    <row r="865" ht="14.25" customHeight="1">
      <c r="C865" s="140" t="n"/>
    </row>
    <row r="866" ht="14.25" customHeight="1">
      <c r="C866" s="140" t="n"/>
    </row>
    <row r="867" ht="14.25" customHeight="1">
      <c r="C867" s="140" t="n"/>
    </row>
    <row r="868" ht="14.25" customHeight="1">
      <c r="C868" s="140" t="n"/>
    </row>
    <row r="869" ht="14.25" customHeight="1">
      <c r="C869" s="140" t="n"/>
    </row>
    <row r="870" ht="14.25" customHeight="1">
      <c r="C870" s="140" t="n"/>
    </row>
    <row r="871" ht="14.25" customHeight="1">
      <c r="C871" s="140" t="n"/>
    </row>
    <row r="872" ht="14.25" customHeight="1">
      <c r="C872" s="140" t="n"/>
    </row>
    <row r="873" ht="14.25" customHeight="1">
      <c r="C873" s="140" t="n"/>
    </row>
    <row r="874" ht="14.25" customHeight="1">
      <c r="C874" s="140" t="n"/>
    </row>
    <row r="875" ht="14.25" customHeight="1">
      <c r="C875" s="140" t="n"/>
    </row>
    <row r="876" ht="14.25" customHeight="1">
      <c r="C876" s="140" t="n"/>
    </row>
    <row r="877" ht="14.25" customHeight="1">
      <c r="C877" s="140" t="n"/>
    </row>
    <row r="878" ht="14.25" customHeight="1">
      <c r="C878" s="140" t="n"/>
    </row>
    <row r="879" ht="14.25" customHeight="1">
      <c r="C879" s="140" t="n"/>
    </row>
    <row r="880" ht="14.25" customHeight="1">
      <c r="C880" s="140" t="n"/>
    </row>
    <row r="881" ht="14.25" customHeight="1">
      <c r="C881" s="140" t="n"/>
    </row>
    <row r="882" ht="14.25" customHeight="1">
      <c r="C882" s="140" t="n"/>
    </row>
    <row r="883" ht="14.25" customHeight="1">
      <c r="C883" s="140" t="n"/>
    </row>
    <row r="884" ht="14.25" customHeight="1">
      <c r="C884" s="140" t="n"/>
    </row>
    <row r="885" ht="14.25" customHeight="1">
      <c r="C885" s="140" t="n"/>
    </row>
    <row r="886" ht="14.25" customHeight="1">
      <c r="C886" s="140" t="n"/>
    </row>
    <row r="887" ht="14.25" customHeight="1">
      <c r="C887" s="140" t="n"/>
    </row>
    <row r="888" ht="14.25" customHeight="1">
      <c r="C888" s="140" t="n"/>
    </row>
    <row r="889" ht="14.25" customHeight="1">
      <c r="C889" s="140" t="n"/>
    </row>
    <row r="890" ht="14.25" customHeight="1">
      <c r="C890" s="140" t="n"/>
    </row>
    <row r="891" ht="14.25" customHeight="1">
      <c r="C891" s="140" t="n"/>
    </row>
    <row r="892" ht="14.25" customHeight="1">
      <c r="C892" s="140" t="n"/>
    </row>
    <row r="893" ht="14.25" customHeight="1">
      <c r="C893" s="140" t="n"/>
    </row>
    <row r="894" ht="14.25" customHeight="1">
      <c r="C894" s="140" t="n"/>
    </row>
    <row r="895" ht="14.25" customHeight="1">
      <c r="C895" s="140" t="n"/>
    </row>
    <row r="896" ht="14.25" customHeight="1">
      <c r="C896" s="140" t="n"/>
    </row>
    <row r="897" ht="14.25" customHeight="1">
      <c r="C897" s="140" t="n"/>
    </row>
    <row r="898" ht="14.25" customHeight="1">
      <c r="C898" s="140" t="n"/>
    </row>
    <row r="899" ht="14.25" customHeight="1">
      <c r="C899" s="140" t="n"/>
    </row>
    <row r="900" ht="14.25" customHeight="1">
      <c r="C900" s="140" t="n"/>
    </row>
    <row r="901" ht="14.25" customHeight="1">
      <c r="C901" s="140" t="n"/>
    </row>
    <row r="902" ht="14.25" customHeight="1">
      <c r="C902" s="140" t="n"/>
    </row>
    <row r="903" ht="14.25" customHeight="1">
      <c r="C903" s="140" t="n"/>
    </row>
    <row r="904" ht="14.25" customHeight="1">
      <c r="C904" s="140" t="n"/>
    </row>
    <row r="905" ht="14.25" customHeight="1">
      <c r="C905" s="140" t="n"/>
    </row>
    <row r="906" ht="14.25" customHeight="1">
      <c r="C906" s="140" t="n"/>
    </row>
    <row r="907" ht="14.25" customHeight="1">
      <c r="C907" s="140" t="n"/>
    </row>
    <row r="908" ht="14.25" customHeight="1">
      <c r="C908" s="140" t="n"/>
    </row>
    <row r="909" ht="14.25" customHeight="1">
      <c r="C909" s="140" t="n"/>
    </row>
    <row r="910" ht="14.25" customHeight="1">
      <c r="C910" s="140" t="n"/>
    </row>
    <row r="911" ht="14.25" customHeight="1">
      <c r="C911" s="140" t="n"/>
    </row>
    <row r="912" ht="14.25" customHeight="1">
      <c r="C912" s="140" t="n"/>
    </row>
    <row r="913" ht="14.25" customHeight="1">
      <c r="C913" s="140" t="n"/>
    </row>
    <row r="914" ht="14.25" customHeight="1">
      <c r="C914" s="140" t="n"/>
    </row>
    <row r="915" ht="14.25" customHeight="1">
      <c r="C915" s="140" t="n"/>
    </row>
    <row r="916" ht="14.25" customHeight="1">
      <c r="C916" s="140" t="n"/>
    </row>
    <row r="917" ht="14.25" customHeight="1">
      <c r="C917" s="140" t="n"/>
    </row>
    <row r="918" ht="14.25" customHeight="1">
      <c r="C918" s="140" t="n"/>
    </row>
    <row r="919" ht="14.25" customHeight="1">
      <c r="C919" s="140" t="n"/>
    </row>
    <row r="920" ht="14.25" customHeight="1">
      <c r="C920" s="140" t="n"/>
    </row>
    <row r="921" ht="14.25" customHeight="1">
      <c r="C921" s="140" t="n"/>
    </row>
    <row r="922" ht="14.25" customHeight="1">
      <c r="C922" s="140" t="n"/>
    </row>
    <row r="923" ht="14.25" customHeight="1">
      <c r="C923" s="140" t="n"/>
    </row>
    <row r="924" ht="14.25" customHeight="1">
      <c r="C924" s="140" t="n"/>
    </row>
    <row r="925" ht="14.25" customHeight="1">
      <c r="C925" s="140" t="n"/>
    </row>
    <row r="926" ht="14.25" customHeight="1">
      <c r="C926" s="140" t="n"/>
    </row>
    <row r="927" ht="14.25" customHeight="1">
      <c r="C927" s="140" t="n"/>
    </row>
    <row r="928" ht="14.25" customHeight="1">
      <c r="C928" s="140" t="n"/>
    </row>
    <row r="929" ht="14.25" customHeight="1">
      <c r="C929" s="140" t="n"/>
    </row>
    <row r="930" ht="14.25" customHeight="1">
      <c r="C930" s="140" t="n"/>
    </row>
    <row r="931" ht="14.25" customHeight="1">
      <c r="C931" s="140" t="n"/>
    </row>
    <row r="932" ht="14.25" customHeight="1">
      <c r="C932" s="140" t="n"/>
    </row>
    <row r="933" ht="14.25" customHeight="1">
      <c r="C933" s="140" t="n"/>
    </row>
    <row r="934" ht="14.25" customHeight="1">
      <c r="C934" s="140" t="n"/>
    </row>
    <row r="935" ht="14.25" customHeight="1">
      <c r="C935" s="140" t="n"/>
    </row>
    <row r="936" ht="14.25" customHeight="1">
      <c r="C936" s="140" t="n"/>
    </row>
    <row r="937" ht="14.25" customHeight="1">
      <c r="C937" s="140" t="n"/>
    </row>
    <row r="938" ht="14.25" customHeight="1">
      <c r="C938" s="140" t="n"/>
    </row>
    <row r="939" ht="14.25" customHeight="1">
      <c r="C939" s="140" t="n"/>
    </row>
    <row r="940" ht="14.25" customHeight="1">
      <c r="C940" s="140" t="n"/>
    </row>
    <row r="941" ht="14.25" customHeight="1">
      <c r="C941" s="140" t="n"/>
    </row>
    <row r="942" ht="14.25" customHeight="1">
      <c r="C942" s="140" t="n"/>
    </row>
    <row r="943" ht="14.25" customHeight="1">
      <c r="C943" s="140" t="n"/>
    </row>
    <row r="944" ht="14.25" customHeight="1">
      <c r="C944" s="140" t="n"/>
    </row>
    <row r="945" ht="14.25" customHeight="1">
      <c r="C945" s="140" t="n"/>
    </row>
    <row r="946" ht="14.25" customHeight="1">
      <c r="C946" s="140" t="n"/>
    </row>
    <row r="947" ht="14.25" customHeight="1">
      <c r="C947" s="140" t="n"/>
    </row>
    <row r="948" ht="14.25" customHeight="1">
      <c r="C948" s="140" t="n"/>
    </row>
    <row r="949" ht="14.25" customHeight="1">
      <c r="C949" s="140" t="n"/>
    </row>
    <row r="950" ht="14.25" customHeight="1">
      <c r="C950" s="140" t="n"/>
    </row>
    <row r="951" ht="14.25" customHeight="1">
      <c r="C951" s="140" t="n"/>
    </row>
    <row r="952" ht="14.25" customHeight="1">
      <c r="C952" s="140" t="n"/>
    </row>
    <row r="953" ht="14.25" customHeight="1">
      <c r="C953" s="140" t="n"/>
    </row>
    <row r="954" ht="14.25" customHeight="1">
      <c r="C954" s="140" t="n"/>
    </row>
    <row r="955" ht="14.25" customHeight="1">
      <c r="C955" s="140" t="n"/>
    </row>
    <row r="956" ht="14.25" customHeight="1">
      <c r="C956" s="140" t="n"/>
    </row>
    <row r="957" ht="14.25" customHeight="1">
      <c r="C957" s="140" t="n"/>
    </row>
    <row r="958" ht="14.25" customHeight="1">
      <c r="C958" s="140" t="n"/>
    </row>
    <row r="959" ht="14.25" customHeight="1">
      <c r="C959" s="140" t="n"/>
    </row>
    <row r="960" ht="14.25" customHeight="1">
      <c r="C960" s="140" t="n"/>
    </row>
    <row r="961" ht="14.25" customHeight="1">
      <c r="C961" s="140" t="n"/>
    </row>
    <row r="962" ht="14.25" customHeight="1">
      <c r="C962" s="140" t="n"/>
    </row>
    <row r="963" ht="14.25" customHeight="1">
      <c r="C963" s="140" t="n"/>
    </row>
    <row r="964" ht="14.25" customHeight="1">
      <c r="C964" s="140" t="n"/>
    </row>
    <row r="965" ht="14.25" customHeight="1">
      <c r="C965" s="140" t="n"/>
    </row>
    <row r="966" ht="14.25" customHeight="1">
      <c r="C966" s="140" t="n"/>
    </row>
    <row r="967" ht="14.25" customHeight="1">
      <c r="C967" s="140" t="n"/>
    </row>
    <row r="968" ht="14.25" customHeight="1">
      <c r="C968" s="140" t="n"/>
    </row>
    <row r="969" ht="14.25" customHeight="1">
      <c r="C969" s="140" t="n"/>
    </row>
    <row r="970" ht="14.25" customHeight="1">
      <c r="C970" s="140" t="n"/>
    </row>
    <row r="971" ht="14.25" customHeight="1">
      <c r="C971" s="140" t="n"/>
    </row>
    <row r="972" ht="14.25" customHeight="1">
      <c r="C972" s="140" t="n"/>
    </row>
    <row r="973" ht="14.25" customHeight="1">
      <c r="C973" s="140" t="n"/>
    </row>
    <row r="974" ht="14.25" customHeight="1">
      <c r="C974" s="140" t="n"/>
    </row>
    <row r="975" ht="14.25" customHeight="1">
      <c r="C975" s="140" t="n"/>
    </row>
    <row r="976" ht="14.25" customHeight="1">
      <c r="C976" s="140" t="n"/>
    </row>
    <row r="977" ht="14.25" customHeight="1">
      <c r="C977" s="140" t="n"/>
    </row>
    <row r="978" ht="14.25" customHeight="1">
      <c r="C978" s="140" t="n"/>
    </row>
    <row r="979" ht="14.25" customHeight="1">
      <c r="C979" s="140" t="n"/>
    </row>
    <row r="980" ht="14.25" customHeight="1">
      <c r="C980" s="140" t="n"/>
    </row>
    <row r="981" ht="14.25" customHeight="1">
      <c r="C981" s="140" t="n"/>
    </row>
    <row r="982" ht="14.25" customHeight="1">
      <c r="C982" s="140" t="n"/>
    </row>
    <row r="983" ht="14.25" customHeight="1">
      <c r="C983" s="140" t="n"/>
    </row>
    <row r="984" ht="14.25" customHeight="1">
      <c r="C984" s="140" t="n"/>
    </row>
    <row r="985" ht="14.25" customHeight="1">
      <c r="C985" s="140" t="n"/>
    </row>
    <row r="986" ht="14.25" customHeight="1">
      <c r="C986" s="140" t="n"/>
    </row>
    <row r="987" ht="14.25" customHeight="1">
      <c r="C987" s="140" t="n"/>
    </row>
    <row r="988" ht="14.25" customHeight="1">
      <c r="C988" s="140" t="n"/>
    </row>
    <row r="989" ht="14.25" customHeight="1">
      <c r="C989" s="140" t="n"/>
    </row>
    <row r="990" ht="14.25" customHeight="1">
      <c r="C990" s="140" t="n"/>
    </row>
    <row r="991" ht="14.25" customHeight="1">
      <c r="C991" s="140" t="n"/>
    </row>
    <row r="992" ht="14.25" customHeight="1">
      <c r="C992" s="140" t="n"/>
    </row>
    <row r="993" ht="14.25" customHeight="1">
      <c r="C993" s="140" t="n"/>
    </row>
    <row r="994" ht="14.25" customHeight="1">
      <c r="C994" s="140" t="n"/>
    </row>
    <row r="995" ht="14.25" customHeight="1">
      <c r="C995" s="140" t="n"/>
    </row>
    <row r="996" ht="14.25" customHeight="1">
      <c r="C996" s="140" t="n"/>
    </row>
    <row r="997" ht="14.25" customHeight="1">
      <c r="C997" s="140" t="n"/>
    </row>
    <row r="998" ht="14.25" customHeight="1">
      <c r="C998" s="140" t="n"/>
    </row>
    <row r="999" ht="14.25" customHeight="1">
      <c r="C999" s="140" t="n"/>
    </row>
    <row r="1000" ht="14.25" customHeight="1">
      <c r="C1000" s="140" t="n"/>
    </row>
  </sheetData>
  <mergeCells count="1">
    <mergeCell ref="B9:E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Romain Pouzou</dc:creator>
  <dcterms:created xsi:type="dcterms:W3CDTF">2020-04-23T16:46:16Z</dcterms:created>
  <dcterms:modified xsi:type="dcterms:W3CDTF">2026-06-10T20:50:05Z</dcterms:modified>
  <cp:lastModifiedBy>Romain Pouzou</cp:lastModifiedBy>
</cp:coreProperties>
</file>