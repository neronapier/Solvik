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7" autoFilterDateGrouping="1"/>
  </bookViews>
  <sheets>
    <sheet name="CAPEX" sheetId="1" state="visible" r:id="rId1"/>
    <sheet name="OPEX" sheetId="2" state="visible" r:id="rId2"/>
    <sheet name="Costeo y análisis de rent." sheetId="3" state="visible" r:id="rId3"/>
    <sheet name="Unidades Económicas" sheetId="4" state="visible" r:id="rId4"/>
    <sheet name="Resumen operativo" sheetId="5" state="visible" r:id="rId5"/>
    <sheet name="Proyección financiera Insumos" sheetId="6" state="visible" r:id="rId6"/>
    <sheet name="Proyección financiera" sheetId="7" state="visible" r:id="rId7"/>
    <sheet name="Valuación de la empresa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-&quot;$&quot;* #,##0.00_-;\-&quot;$&quot;* #,##0.00_-;_-&quot;$&quot;* &quot;-&quot;??_-;_-@"/>
    <numFmt numFmtId="165" formatCode="_-* #,##0.00_-;\-* #,##0.00_-;_-* &quot;-&quot;??_-;_-@"/>
    <numFmt numFmtId="166" formatCode="&quot;$&quot;#,##0"/>
    <numFmt numFmtId="167" formatCode="_-* #,##0_-;\-* #,##0_-;_-* &quot;-&quot;??_-;_-@"/>
    <numFmt numFmtId="168" formatCode="_-&quot;$&quot;* #,##0.00_-;\-&quot;$&quot;* #,##0.00_-;_-&quot;$&quot;* &quot;-&quot;??_-;_-@_-"/>
    <numFmt numFmtId="169" formatCode="_-* #,##0.00_-;\-* #,##0.00_-;_-* &quot;-&quot;??_-;_-@_-"/>
    <numFmt numFmtId="170" formatCode="0.0&quot;x&quot;"/>
  </numFmts>
  <fonts count="32">
    <font>
      <name val="Calibri"/>
      <color theme="1"/>
      <sz val="11"/>
      <scheme val="minor"/>
    </font>
    <font>
      <name val="Century Gothic"/>
      <family val="2"/>
      <color theme="1"/>
      <sz val="11"/>
    </font>
    <font>
      <name val="Century Gothic"/>
      <family val="2"/>
      <b val="1"/>
      <color theme="0"/>
      <sz val="22"/>
    </font>
    <font>
      <name val="Calibri"/>
      <family val="2"/>
      <sz val="11"/>
    </font>
    <font>
      <name val="Century Gothic"/>
      <family val="2"/>
      <b val="1"/>
      <color theme="1"/>
      <sz val="22"/>
    </font>
    <font>
      <name val="Century Gothic"/>
      <family val="2"/>
      <color theme="10"/>
      <sz val="11"/>
      <u val="single"/>
    </font>
    <font>
      <name val="Century Gothic"/>
      <family val="2"/>
      <b val="1"/>
      <color theme="1"/>
      <sz val="11"/>
    </font>
    <font>
      <name val="Century Gothic"/>
      <family val="2"/>
      <b val="1"/>
      <color theme="0"/>
      <sz val="11"/>
    </font>
    <font>
      <name val="Arial"/>
      <family val="2"/>
      <b val="1"/>
      <color theme="0"/>
      <sz val="10"/>
    </font>
    <font>
      <name val="Calibri"/>
      <family val="2"/>
      <color theme="1"/>
      <sz val="11"/>
    </font>
    <font>
      <name val="Arial"/>
      <family val="2"/>
      <b val="1"/>
      <color theme="1"/>
      <sz val="10"/>
    </font>
    <font>
      <name val="Century Gothic"/>
      <family val="2"/>
      <b val="1"/>
      <color theme="1"/>
      <sz val="10"/>
    </font>
    <font>
      <name val="Century Gothic"/>
      <family val="2"/>
      <color theme="1"/>
      <sz val="10"/>
    </font>
    <font>
      <name val="Century Gothic"/>
      <family val="2"/>
      <i val="1"/>
      <color theme="1"/>
      <sz val="10"/>
    </font>
    <font>
      <name val="Calibri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entury Gothic"/>
      <family val="2"/>
      <color theme="0"/>
      <sz val="11"/>
    </font>
    <font>
      <name val="Century Gothic"/>
      <family val="2"/>
      <b val="1"/>
      <color theme="1"/>
      <sz val="11"/>
    </font>
    <font>
      <name val="Century Gothic"/>
      <family val="2"/>
      <b val="1"/>
      <color theme="0"/>
      <sz val="11"/>
    </font>
    <font>
      <name val="Calibri"/>
      <family val="2"/>
      <color theme="0"/>
      <sz val="11"/>
    </font>
    <font>
      <name val="Century Gothic"/>
      <family val="2"/>
      <color theme="1"/>
      <sz val="11"/>
    </font>
    <font>
      <name val="Century Gothic"/>
      <family val="2"/>
      <b val="1"/>
      <color theme="0"/>
      <sz val="9"/>
    </font>
    <font>
      <name val="Century Gothic"/>
      <family val="2"/>
      <b val="1"/>
      <color theme="0"/>
      <sz val="8"/>
    </font>
    <font>
      <name val="Century Gothic"/>
      <family val="2"/>
      <b val="1"/>
      <color theme="0"/>
      <sz val="12"/>
    </font>
    <font>
      <name val="Century Gothic"/>
      <family val="2"/>
      <b val="1"/>
      <color theme="0"/>
      <sz val="14"/>
    </font>
    <font>
      <name val="Calibri"/>
      <family val="2"/>
      <sz val="8"/>
      <scheme val="minor"/>
    </font>
    <font>
      <name val="Century Gothic"/>
      <family val="2"/>
      <b val="1"/>
      <color theme="1"/>
      <sz val="9"/>
    </font>
    <font>
      <name val="Calibri"/>
      <family val="2"/>
      <color theme="1"/>
      <sz val="11"/>
      <scheme val="minor"/>
    </font>
    <font>
      <name val="Century Gothic"/>
      <family val="2"/>
      <b val="1"/>
      <i val="1"/>
      <color theme="1"/>
      <sz val="11"/>
    </font>
    <font>
      <b val="1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6AAE4"/>
        <bgColor rgb="FF96AAE4"/>
      </patternFill>
    </fill>
    <fill>
      <patternFill patternType="solid">
        <fgColor rgb="FFDADADA"/>
        <bgColor rgb="FFDADADA"/>
      </patternFill>
    </fill>
    <fill>
      <patternFill patternType="solid">
        <fgColor rgb="FFCACAE6"/>
        <bgColor rgb="FFCACAE6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rgb="FFECECEC"/>
        <bgColor rgb="FFECECEC"/>
      </patternFill>
    </fill>
    <fill>
      <patternFill patternType="solid">
        <fgColor rgb="FFC0C0C0"/>
        <bgColor rgb="FFC0C0C0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rgb="FFF4B083"/>
      </patternFill>
    </fill>
  </fills>
  <borders count="80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4">
    <xf numFmtId="0" fontId="0" fillId="0" borderId="20"/>
    <xf numFmtId="9" fontId="28" fillId="0" borderId="20"/>
    <xf numFmtId="43" fontId="28" fillId="0" borderId="20"/>
    <xf numFmtId="44" fontId="28" fillId="0" borderId="20"/>
  </cellStyleXfs>
  <cellXfs count="283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1" fillId="3" borderId="7" pivotButton="0" quotePrefix="0" xfId="0"/>
    <xf numFmtId="164" fontId="1" fillId="0" borderId="7" pivotButton="0" quotePrefix="0" xfId="0"/>
    <xf numFmtId="0" fontId="1" fillId="4" borderId="7" pivotButton="0" quotePrefix="0" xfId="0"/>
    <xf numFmtId="0" fontId="5" fillId="0" borderId="0" pivotButton="0" quotePrefix="0" xfId="0"/>
    <xf numFmtId="0" fontId="6" fillId="5" borderId="7" applyAlignment="1" pivotButton="0" quotePrefix="0" xfId="0">
      <alignment horizontal="center"/>
    </xf>
    <xf numFmtId="0" fontId="6" fillId="5" borderId="7" applyAlignment="1" pivotButton="0" quotePrefix="0" xfId="0">
      <alignment horizontal="center" wrapText="1"/>
    </xf>
    <xf numFmtId="0" fontId="1" fillId="0" borderId="7" pivotButton="0" quotePrefix="0" xfId="0"/>
    <xf numFmtId="0" fontId="1" fillId="0" borderId="7" applyAlignment="1" pivotButton="0" quotePrefix="0" xfId="0">
      <alignment horizontal="center"/>
    </xf>
    <xf numFmtId="0" fontId="1" fillId="0" borderId="11" pivotButton="0" quotePrefix="0" xfId="0"/>
    <xf numFmtId="164" fontId="1" fillId="0" borderId="12" pivotButton="0" quotePrefix="0" xfId="0"/>
    <xf numFmtId="0" fontId="6" fillId="0" borderId="1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9" fontId="6" fillId="0" borderId="13" applyAlignment="1" pivotButton="0" quotePrefix="0" xfId="0">
      <alignment horizontal="center" vertical="center"/>
    </xf>
    <xf numFmtId="9" fontId="6" fillId="0" borderId="16" applyAlignment="1" pivotButton="0" quotePrefix="0" xfId="0">
      <alignment horizontal="center" vertical="center"/>
    </xf>
    <xf numFmtId="9" fontId="6" fillId="0" borderId="14" applyAlignment="1" pivotButton="0" quotePrefix="0" xfId="0">
      <alignment horizontal="center" vertical="center"/>
    </xf>
    <xf numFmtId="9" fontId="6" fillId="0" borderId="13" applyAlignment="1" pivotButton="0" quotePrefix="0" xfId="0">
      <alignment horizontal="center" vertical="center" wrapText="1"/>
    </xf>
    <xf numFmtId="164" fontId="1" fillId="6" borderId="17" pivotButton="0" quotePrefix="0" xfId="0"/>
    <xf numFmtId="164" fontId="1" fillId="7" borderId="17" pivotButton="0" quotePrefix="0" xfId="0"/>
    <xf numFmtId="9" fontId="6" fillId="0" borderId="10" applyAlignment="1" pivotButton="0" quotePrefix="0" xfId="0">
      <alignment horizontal="center" vertical="center"/>
    </xf>
    <xf numFmtId="9" fontId="6" fillId="0" borderId="14" applyAlignment="1" pivotButton="0" quotePrefix="0" xfId="0">
      <alignment horizontal="center" vertical="center" wrapText="1"/>
    </xf>
    <xf numFmtId="164" fontId="1" fillId="6" borderId="18" pivotButton="0" quotePrefix="0" xfId="0"/>
    <xf numFmtId="164" fontId="1" fillId="7" borderId="18" pivotButton="0" quotePrefix="0" xfId="0"/>
    <xf numFmtId="164" fontId="1" fillId="8" borderId="18" pivotButton="0" quotePrefix="0" xfId="0"/>
    <xf numFmtId="164" fontId="1" fillId="8" borderId="19" pivotButton="0" quotePrefix="0" xfId="0"/>
    <xf numFmtId="164" fontId="1" fillId="6" borderId="20" pivotButton="0" quotePrefix="0" xfId="0"/>
    <xf numFmtId="0" fontId="1" fillId="0" borderId="8" pivotButton="0" quotePrefix="0" xfId="0"/>
    <xf numFmtId="0" fontId="1" fillId="0" borderId="23" pivotButton="0" quotePrefix="0" xfId="0"/>
    <xf numFmtId="164" fontId="1" fillId="0" borderId="0" pivotButton="0" quotePrefix="0" xfId="0"/>
    <xf numFmtId="164" fontId="1" fillId="0" borderId="13" pivotButton="0" quotePrefix="0" xfId="0"/>
    <xf numFmtId="164" fontId="1" fillId="0" borderId="15" pivotButton="0" quotePrefix="0" xfId="0"/>
    <xf numFmtId="0" fontId="6" fillId="5" borderId="25" pivotButton="0" quotePrefix="0" xfId="0"/>
    <xf numFmtId="164" fontId="6" fillId="5" borderId="14" pivotButton="0" quotePrefix="0" xfId="0"/>
    <xf numFmtId="165" fontId="1" fillId="0" borderId="15" pivotButton="0" quotePrefix="0" xfId="0"/>
    <xf numFmtId="164" fontId="1" fillId="5" borderId="14" pivotButton="0" quotePrefix="0" xfId="0"/>
    <xf numFmtId="0" fontId="1" fillId="7" borderId="26" pivotButton="0" quotePrefix="0" xfId="0"/>
    <xf numFmtId="0" fontId="1" fillId="7" borderId="17" pivotButton="0" quotePrefix="0" xfId="0"/>
    <xf numFmtId="0" fontId="8" fillId="2" borderId="29" applyAlignment="1" pivotButton="0" quotePrefix="0" xfId="0">
      <alignment horizontal="center"/>
    </xf>
    <xf numFmtId="0" fontId="8" fillId="2" borderId="30" applyAlignment="1" pivotButton="0" quotePrefix="0" xfId="0">
      <alignment horizontal="center"/>
    </xf>
    <xf numFmtId="0" fontId="8" fillId="2" borderId="30" applyAlignment="1" pivotButton="0" quotePrefix="0" xfId="0">
      <alignment horizontal="center" wrapText="1"/>
    </xf>
    <xf numFmtId="0" fontId="8" fillId="2" borderId="31" applyAlignment="1" pivotButton="0" quotePrefix="0" xfId="0">
      <alignment horizontal="center"/>
    </xf>
    <xf numFmtId="0" fontId="9" fillId="0" borderId="32" applyAlignment="1" pivotButton="0" quotePrefix="0" xfId="0">
      <alignment horizontal="center"/>
    </xf>
    <xf numFmtId="0" fontId="9" fillId="0" borderId="33" pivotButton="0" quotePrefix="0" xfId="0"/>
    <xf numFmtId="164" fontId="9" fillId="0" borderId="33" pivotButton="0" quotePrefix="0" xfId="0"/>
    <xf numFmtId="164" fontId="9" fillId="0" borderId="34" pivotButton="0" quotePrefix="0" xfId="0"/>
    <xf numFmtId="0" fontId="9" fillId="0" borderId="35" applyAlignment="1" pivotButton="0" quotePrefix="0" xfId="0">
      <alignment horizontal="center"/>
    </xf>
    <xf numFmtId="164" fontId="9" fillId="0" borderId="36" pivotButton="0" quotePrefix="0" xfId="0"/>
    <xf numFmtId="164" fontId="9" fillId="0" borderId="37" pivotButton="0" quotePrefix="0" xfId="0"/>
    <xf numFmtId="0" fontId="9" fillId="0" borderId="38" applyAlignment="1" pivotButton="0" quotePrefix="0" xfId="0">
      <alignment horizontal="center"/>
    </xf>
    <xf numFmtId="0" fontId="9" fillId="0" borderId="39" pivotButton="0" quotePrefix="0" xfId="0"/>
    <xf numFmtId="164" fontId="9" fillId="0" borderId="40" pivotButton="0" quotePrefix="0" xfId="0"/>
    <xf numFmtId="164" fontId="9" fillId="0" borderId="41" pivotButton="0" quotePrefix="0" xfId="0"/>
    <xf numFmtId="0" fontId="10" fillId="6" borderId="29" applyAlignment="1" pivotButton="0" quotePrefix="0" xfId="0">
      <alignment horizontal="center"/>
    </xf>
    <xf numFmtId="0" fontId="10" fillId="6" borderId="30" applyAlignment="1" pivotButton="0" quotePrefix="0" xfId="0">
      <alignment horizontal="center"/>
    </xf>
    <xf numFmtId="0" fontId="10" fillId="6" borderId="30" applyAlignment="1" pivotButton="0" quotePrefix="0" xfId="0">
      <alignment horizontal="center" wrapText="1"/>
    </xf>
    <xf numFmtId="0" fontId="10" fillId="6" borderId="31" applyAlignment="1" pivotButton="0" quotePrefix="0" xfId="0">
      <alignment horizontal="center"/>
    </xf>
    <xf numFmtId="0" fontId="9" fillId="0" borderId="42" applyAlignment="1" pivotButton="0" quotePrefix="0" xfId="0">
      <alignment horizontal="center"/>
    </xf>
    <xf numFmtId="0" fontId="9" fillId="0" borderId="43" pivotButton="0" quotePrefix="0" xfId="0"/>
    <xf numFmtId="3" fontId="9" fillId="0" borderId="43" pivotButton="0" quotePrefix="0" xfId="0"/>
    <xf numFmtId="165" fontId="9" fillId="10" borderId="44" pivotButton="0" quotePrefix="0" xfId="0"/>
    <xf numFmtId="165" fontId="9" fillId="10" borderId="43" pivotButton="0" quotePrefix="0" xfId="0"/>
    <xf numFmtId="3" fontId="9" fillId="0" borderId="36" pivotButton="0" quotePrefix="0" xfId="0"/>
    <xf numFmtId="3" fontId="9" fillId="0" borderId="33" pivotButton="0" quotePrefix="0" xfId="0"/>
    <xf numFmtId="165" fontId="9" fillId="0" borderId="33" pivotButton="0" quotePrefix="0" xfId="0"/>
    <xf numFmtId="165" fontId="9" fillId="10" borderId="37" pivotButton="0" quotePrefix="0" xfId="0"/>
    <xf numFmtId="165" fontId="9" fillId="10" borderId="36" pivotButton="0" quotePrefix="0" xfId="0"/>
    <xf numFmtId="165" fontId="9" fillId="0" borderId="36" pivotButton="0" quotePrefix="0" xfId="0"/>
    <xf numFmtId="3" fontId="9" fillId="0" borderId="40" pivotButton="0" quotePrefix="0" xfId="0"/>
    <xf numFmtId="165" fontId="9" fillId="0" borderId="40" pivotButton="0" quotePrefix="0" xfId="0"/>
    <xf numFmtId="165" fontId="9" fillId="10" borderId="41" pivotButton="0" quotePrefix="0" xfId="0"/>
    <xf numFmtId="165" fontId="9" fillId="10" borderId="40" pivotButton="0" quotePrefix="0" xfId="0"/>
    <xf numFmtId="165" fontId="9" fillId="0" borderId="0" pivotButton="0" quotePrefix="0" xfId="0"/>
    <xf numFmtId="165" fontId="9" fillId="0" borderId="45" pivotButton="0" quotePrefix="0" xfId="0"/>
    <xf numFmtId="165" fontId="10" fillId="0" borderId="46" applyAlignment="1" pivotButton="0" quotePrefix="0" xfId="0">
      <alignment horizontal="center"/>
    </xf>
    <xf numFmtId="165" fontId="9" fillId="0" borderId="46" pivotButton="0" quotePrefix="0" xfId="0"/>
    <xf numFmtId="165" fontId="9" fillId="10" borderId="47" pivotButton="0" quotePrefix="0" xfId="0"/>
    <xf numFmtId="165" fontId="9" fillId="10" borderId="46" pivotButton="0" quotePrefix="0" xfId="0"/>
    <xf numFmtId="0" fontId="9" fillId="0" borderId="32" pivotButton="0" quotePrefix="0" xfId="0"/>
    <xf numFmtId="164" fontId="9" fillId="9" borderId="48" pivotButton="0" quotePrefix="0" xfId="0"/>
    <xf numFmtId="0" fontId="9" fillId="0" borderId="35" pivotButton="0" quotePrefix="0" xfId="0"/>
    <xf numFmtId="0" fontId="9" fillId="0" borderId="49" pivotButton="0" quotePrefix="0" xfId="0"/>
    <xf numFmtId="164" fontId="9" fillId="9" borderId="50" pivotButton="0" quotePrefix="0" xfId="0"/>
    <xf numFmtId="0" fontId="9" fillId="0" borderId="45" pivotButton="0" quotePrefix="0" xfId="0"/>
    <xf numFmtId="0" fontId="10" fillId="0" borderId="46" applyAlignment="1" pivotButton="0" quotePrefix="0" xfId="0">
      <alignment horizontal="center"/>
    </xf>
    <xf numFmtId="164" fontId="9" fillId="0" borderId="46" pivotButton="0" quotePrefix="0" xfId="0"/>
    <xf numFmtId="164" fontId="9" fillId="9" borderId="47" pivotButton="0" quotePrefix="0" xfId="0"/>
    <xf numFmtId="2" fontId="9" fillId="0" borderId="33" pivotButton="0" quotePrefix="0" xfId="0"/>
    <xf numFmtId="166" fontId="9" fillId="0" borderId="46" pivotButton="0" quotePrefix="0" xfId="0"/>
    <xf numFmtId="166" fontId="9" fillId="9" borderId="47" pivotButton="0" quotePrefix="0" xfId="0"/>
    <xf numFmtId="165" fontId="10" fillId="6" borderId="29" applyAlignment="1" pivotButton="0" quotePrefix="0" xfId="0">
      <alignment horizontal="center"/>
    </xf>
    <xf numFmtId="165" fontId="10" fillId="6" borderId="30" applyAlignment="1" pivotButton="0" quotePrefix="0" xfId="0">
      <alignment horizontal="center"/>
    </xf>
    <xf numFmtId="165" fontId="10" fillId="6" borderId="30" applyAlignment="1" pivotButton="0" quotePrefix="0" xfId="0">
      <alignment horizontal="center" wrapText="1"/>
    </xf>
    <xf numFmtId="165" fontId="10" fillId="6" borderId="31" applyAlignment="1" pivotButton="0" quotePrefix="0" xfId="0">
      <alignment horizontal="center"/>
    </xf>
    <xf numFmtId="167" fontId="9" fillId="0" borderId="42" pivotButton="0" quotePrefix="0" xfId="0"/>
    <xf numFmtId="165" fontId="9" fillId="0" borderId="43" pivotButton="0" quotePrefix="0" xfId="0"/>
    <xf numFmtId="165" fontId="9" fillId="9" borderId="44" pivotButton="0" quotePrefix="0" xfId="0"/>
    <xf numFmtId="167" fontId="9" fillId="0" borderId="35" pivotButton="0" quotePrefix="0" xfId="0"/>
    <xf numFmtId="165" fontId="9" fillId="9" borderId="37" pivotButton="0" quotePrefix="0" xfId="0"/>
    <xf numFmtId="167" fontId="9" fillId="0" borderId="38" pivotButton="0" quotePrefix="0" xfId="0"/>
    <xf numFmtId="165" fontId="9" fillId="0" borderId="39" pivotButton="0" quotePrefix="0" xfId="0"/>
    <xf numFmtId="165" fontId="9" fillId="9" borderId="41" pivotButton="0" quotePrefix="0" xfId="0"/>
    <xf numFmtId="165" fontId="9" fillId="9" borderId="47" pivotButton="0" quotePrefix="0" xfId="0"/>
    <xf numFmtId="167" fontId="9" fillId="0" borderId="42" applyAlignment="1" pivotButton="0" quotePrefix="0" xfId="0">
      <alignment horizontal="center"/>
    </xf>
    <xf numFmtId="167" fontId="9" fillId="0" borderId="35" applyAlignment="1" pivotButton="0" quotePrefix="0" xfId="0">
      <alignment horizontal="center"/>
    </xf>
    <xf numFmtId="167" fontId="9" fillId="0" borderId="38" applyAlignment="1" pivotButton="0" quotePrefix="0" xfId="0">
      <alignment horizontal="center"/>
    </xf>
    <xf numFmtId="0" fontId="11" fillId="11" borderId="30" applyAlignment="1" pivotButton="0" quotePrefix="0" xfId="0">
      <alignment horizontal="center"/>
    </xf>
    <xf numFmtId="0" fontId="11" fillId="11" borderId="30" applyAlignment="1" pivotButton="0" quotePrefix="0" xfId="0">
      <alignment horizontal="center" wrapText="1"/>
    </xf>
    <xf numFmtId="0" fontId="11" fillId="11" borderId="31" applyAlignment="1" pivotButton="0" quotePrefix="0" xfId="0">
      <alignment horizontal="center"/>
    </xf>
    <xf numFmtId="0" fontId="6" fillId="0" borderId="0" pivotButton="0" quotePrefix="0" xfId="0"/>
    <xf numFmtId="0" fontId="6" fillId="12" borderId="20" pivotButton="0" quotePrefix="0" xfId="0"/>
    <xf numFmtId="164" fontId="6" fillId="12" borderId="20" pivotButton="0" quotePrefix="0" xfId="0"/>
    <xf numFmtId="164" fontId="1" fillId="9" borderId="20" pivotButton="0" quotePrefix="0" xfId="0"/>
    <xf numFmtId="0" fontId="12" fillId="0" borderId="0" applyAlignment="1" pivotButton="0" quotePrefix="0" xfId="0">
      <alignment horizontal="left"/>
    </xf>
    <xf numFmtId="164" fontId="1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4" fontId="1" fillId="0" borderId="51" pivotButton="0" quotePrefix="0" xfId="0"/>
    <xf numFmtId="164" fontId="1" fillId="9" borderId="52" pivotButton="0" quotePrefix="0" xfId="0"/>
    <xf numFmtId="0" fontId="1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6" fillId="13" borderId="53" pivotButton="0" quotePrefix="0" xfId="0"/>
    <xf numFmtId="164" fontId="6" fillId="13" borderId="53" pivotButton="0" quotePrefix="0" xfId="0"/>
    <xf numFmtId="0" fontId="11" fillId="0" borderId="54" pivotButton="0" quotePrefix="0" xfId="0"/>
    <xf numFmtId="164" fontId="11" fillId="0" borderId="54" pivotButton="0" quotePrefix="0" xfId="0"/>
    <xf numFmtId="164" fontId="11" fillId="9" borderId="55" pivotButton="0" quotePrefix="0" xfId="0"/>
    <xf numFmtId="0" fontId="11" fillId="0" borderId="0" pivotButton="0" quotePrefix="0" xfId="0"/>
    <xf numFmtId="164" fontId="11" fillId="0" borderId="0" pivotButton="0" quotePrefix="0" xfId="0"/>
    <xf numFmtId="164" fontId="11" fillId="9" borderId="20" pivotButton="0" quotePrefix="0" xfId="0"/>
    <xf numFmtId="0" fontId="1" fillId="14" borderId="20" pivotButton="0" quotePrefix="0" xfId="0"/>
    <xf numFmtId="164" fontId="1" fillId="14" borderId="20" pivotButton="0" quotePrefix="0" xfId="0"/>
    <xf numFmtId="164" fontId="6" fillId="0" borderId="0" pivotButton="0" quotePrefix="0" xfId="0"/>
    <xf numFmtId="164" fontId="6" fillId="9" borderId="20" pivotButton="0" quotePrefix="0" xfId="0"/>
    <xf numFmtId="0" fontId="1" fillId="9" borderId="20" pivotButton="0" quotePrefix="0" xfId="0"/>
    <xf numFmtId="0" fontId="11" fillId="0" borderId="54" applyAlignment="1" pivotButton="0" quotePrefix="0" xfId="0">
      <alignment horizontal="left"/>
    </xf>
    <xf numFmtId="164" fontId="11" fillId="0" borderId="54" applyAlignment="1" pivotButton="0" quotePrefix="0" xfId="0">
      <alignment horizontal="center"/>
    </xf>
    <xf numFmtId="164" fontId="1" fillId="0" borderId="54" pivotButton="0" quotePrefix="0" xfId="0"/>
    <xf numFmtId="0" fontId="1" fillId="9" borderId="55" pivotButton="0" quotePrefix="0" xfId="0"/>
    <xf numFmtId="0" fontId="1" fillId="0" borderId="54" pivotButton="0" quotePrefix="0" xfId="0"/>
    <xf numFmtId="164" fontId="9" fillId="0" borderId="0" pivotButton="0" quotePrefix="0" xfId="0"/>
    <xf numFmtId="0" fontId="14" fillId="0" borderId="9" pivotButton="0" quotePrefix="0" xfId="0"/>
    <xf numFmtId="164" fontId="14" fillId="0" borderId="14" pivotButton="0" quotePrefix="0" xfId="0"/>
    <xf numFmtId="0" fontId="9" fillId="0" borderId="23" applyAlignment="1" pivotButton="0" quotePrefix="0" xfId="0">
      <alignment horizontal="right"/>
    </xf>
    <xf numFmtId="164" fontId="9" fillId="5" borderId="18" pivotButton="0" quotePrefix="0" xfId="0"/>
    <xf numFmtId="9" fontId="9" fillId="0" borderId="14" pivotButton="0" quotePrefix="0" xfId="0"/>
    <xf numFmtId="0" fontId="14" fillId="0" borderId="0" pivotButton="0" quotePrefix="0" xfId="0"/>
    <xf numFmtId="9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13" pivotButton="0" quotePrefix="0" xfId="0"/>
    <xf numFmtId="164" fontId="9" fillId="0" borderId="8" pivotButton="0" quotePrefix="0" xfId="0"/>
    <xf numFmtId="164" fontId="9" fillId="0" borderId="13" pivotButton="0" quotePrefix="0" xfId="0"/>
    <xf numFmtId="0" fontId="9" fillId="0" borderId="15" pivotButton="0" quotePrefix="0" xfId="0"/>
    <xf numFmtId="164" fontId="9" fillId="0" borderId="11" pivotButton="0" quotePrefix="0" xfId="0"/>
    <xf numFmtId="164" fontId="9" fillId="0" borderId="12" pivotButton="0" quotePrefix="0" xfId="0"/>
    <xf numFmtId="0" fontId="9" fillId="0" borderId="12" pivotButton="0" quotePrefix="0" xfId="0"/>
    <xf numFmtId="0" fontId="9" fillId="5" borderId="57" pivotButton="0" quotePrefix="0" xfId="0"/>
    <xf numFmtId="164" fontId="9" fillId="15" borderId="14" pivotButton="0" quotePrefix="0" xfId="0"/>
    <xf numFmtId="0" fontId="9" fillId="5" borderId="25" pivotButton="0" quotePrefix="0" xfId="0"/>
    <xf numFmtId="0" fontId="9" fillId="5" borderId="56" pivotButton="0" quotePrefix="0" xfId="0"/>
    <xf numFmtId="0" fontId="9" fillId="5" borderId="24" pivotButton="0" quotePrefix="0" xfId="0"/>
    <xf numFmtId="0" fontId="9" fillId="0" borderId="14" pivotButton="0" quotePrefix="0" xfId="0"/>
    <xf numFmtId="0" fontId="1" fillId="0" borderId="59" pivotButton="0" quotePrefix="0" xfId="0"/>
    <xf numFmtId="164" fontId="1" fillId="0" borderId="59" pivotButton="0" quotePrefix="0" xfId="0"/>
    <xf numFmtId="0" fontId="1" fillId="5" borderId="58" applyAlignment="1" pivotButton="0" quotePrefix="0" xfId="0">
      <alignment horizontal="center"/>
    </xf>
    <xf numFmtId="0" fontId="18" fillId="0" borderId="58" pivotButton="0" quotePrefix="0" xfId="0"/>
    <xf numFmtId="164" fontId="18" fillId="0" borderId="58" pivotButton="0" quotePrefix="0" xfId="0"/>
    <xf numFmtId="9" fontId="1" fillId="0" borderId="58" pivotButton="0" quotePrefix="0" xfId="1"/>
    <xf numFmtId="0" fontId="19" fillId="16" borderId="10" applyAlignment="1" pivotButton="0" quotePrefix="0" xfId="0">
      <alignment vertical="center"/>
    </xf>
    <xf numFmtId="0" fontId="19" fillId="16" borderId="14" applyAlignment="1" pivotButton="0" quotePrefix="0" xfId="0">
      <alignment horizontal="center" vertical="center" wrapText="1"/>
    </xf>
    <xf numFmtId="0" fontId="23" fillId="16" borderId="14" applyAlignment="1" pivotButton="0" quotePrefix="0" xfId="0">
      <alignment horizontal="center" vertical="center" wrapText="1"/>
    </xf>
    <xf numFmtId="0" fontId="23" fillId="16" borderId="10" applyAlignment="1" pivotButton="0" quotePrefix="0" xfId="0">
      <alignment horizontal="center" vertical="center" wrapText="1"/>
    </xf>
    <xf numFmtId="0" fontId="21" fillId="0" borderId="58" pivotButton="0" quotePrefix="0" xfId="0"/>
    <xf numFmtId="0" fontId="22" fillId="2" borderId="23" applyAlignment="1" pivotButton="0" quotePrefix="0" xfId="0">
      <alignment horizontal="center" vertical="center" wrapText="1"/>
    </xf>
    <xf numFmtId="0" fontId="22" fillId="2" borderId="20" applyAlignment="1" pivotButton="0" quotePrefix="0" xfId="0">
      <alignment horizontal="center" vertical="center" wrapText="1"/>
    </xf>
    <xf numFmtId="0" fontId="27" fillId="0" borderId="0" pivotButton="0" quotePrefix="0" xfId="0"/>
    <xf numFmtId="0" fontId="19" fillId="2" borderId="23" applyAlignment="1" pivotButton="0" quotePrefix="0" xfId="0">
      <alignment horizontal="center" vertical="center" wrapText="1"/>
    </xf>
    <xf numFmtId="0" fontId="19" fillId="16" borderId="61" applyAlignment="1" pivotButton="0" quotePrefix="0" xfId="0">
      <alignment horizontal="center"/>
    </xf>
    <xf numFmtId="0" fontId="14" fillId="0" borderId="57" applyAlignment="1" pivotButton="0" quotePrefix="0" xfId="0">
      <alignment horizontal="center"/>
    </xf>
    <xf numFmtId="0" fontId="14" fillId="0" borderId="12" applyAlignment="1" pivotButton="0" quotePrefix="0" xfId="0">
      <alignment horizontal="center"/>
    </xf>
    <xf numFmtId="0" fontId="14" fillId="0" borderId="28" applyAlignment="1" pivotButton="0" quotePrefix="0" xfId="0">
      <alignment horizontal="center"/>
    </xf>
    <xf numFmtId="0" fontId="6" fillId="0" borderId="58" pivotButton="0" quotePrefix="0" xfId="0"/>
    <xf numFmtId="164" fontId="6" fillId="0" borderId="58" pivotButton="0" quotePrefix="0" xfId="0"/>
    <xf numFmtId="0" fontId="29" fillId="0" borderId="59" pivotButton="0" quotePrefix="0" xfId="0"/>
    <xf numFmtId="164" fontId="29" fillId="0" borderId="59" pivotButton="0" quotePrefix="0" xfId="0"/>
    <xf numFmtId="168" fontId="6" fillId="0" borderId="14" pivotButton="0" quotePrefix="0" xfId="3"/>
    <xf numFmtId="169" fontId="1" fillId="0" borderId="12" pivotButton="0" quotePrefix="0" xfId="2"/>
    <xf numFmtId="169" fontId="1" fillId="0" borderId="22" pivotButton="0" quotePrefix="0" xfId="2"/>
    <xf numFmtId="169" fontId="1" fillId="0" borderId="11" pivotButton="0" quotePrefix="0" xfId="2"/>
    <xf numFmtId="169" fontId="6" fillId="0" borderId="14" pivotButton="0" quotePrefix="0" xfId="2"/>
    <xf numFmtId="9" fontId="6" fillId="0" borderId="14" pivotButton="0" quotePrefix="0" xfId="1"/>
    <xf numFmtId="0" fontId="14" fillId="0" borderId="12" pivotButton="0" quotePrefix="0" xfId="0"/>
    <xf numFmtId="9" fontId="9" fillId="17" borderId="62" applyAlignment="1" pivotButton="0" quotePrefix="0" xfId="1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17" fillId="16" borderId="0" applyAlignment="1" pivotButton="0" quotePrefix="0" xfId="0">
      <alignment horizontal="center"/>
    </xf>
    <xf numFmtId="0" fontId="7" fillId="2" borderId="58" applyAlignment="1" pivotButton="0" quotePrefix="0" xfId="0">
      <alignment horizontal="center" vertical="center"/>
    </xf>
    <xf numFmtId="0" fontId="3" fillId="0" borderId="58" pivotButton="0" quotePrefix="0" xfId="0"/>
    <xf numFmtId="0" fontId="7" fillId="2" borderId="58" applyAlignment="1" pivotButton="0" quotePrefix="0" xfId="0">
      <alignment horizontal="center" vertical="center" wrapText="1"/>
    </xf>
    <xf numFmtId="0" fontId="1" fillId="3" borderId="58" applyAlignment="1" pivotButton="0" quotePrefix="0" xfId="0">
      <alignment horizontal="center" vertical="center"/>
    </xf>
    <xf numFmtId="0" fontId="19" fillId="16" borderId="13" applyAlignment="1" pivotButton="0" quotePrefix="0" xfId="0">
      <alignment horizontal="center" vertical="center" textRotation="90"/>
    </xf>
    <xf numFmtId="0" fontId="20" fillId="16" borderId="15" pivotButton="0" quotePrefix="0" xfId="0"/>
    <xf numFmtId="0" fontId="20" fillId="16" borderId="12" pivotButton="0" quotePrefix="0" xfId="0"/>
    <xf numFmtId="164" fontId="1" fillId="9" borderId="21" applyAlignment="1" pivotButton="0" quotePrefix="0" xfId="0">
      <alignment horizontal="center"/>
    </xf>
    <xf numFmtId="0" fontId="3" fillId="0" borderId="15" pivotButton="0" quotePrefix="0" xfId="0"/>
    <xf numFmtId="0" fontId="3" fillId="0" borderId="12" pivotButton="0" quotePrefix="0" xfId="0"/>
    <xf numFmtId="164" fontId="21" fillId="0" borderId="58" applyAlignment="1" pivotButton="0" quotePrefix="0" xfId="0">
      <alignment horizontal="center"/>
    </xf>
    <xf numFmtId="0" fontId="25" fillId="2" borderId="23" applyAlignment="1" pivotButton="0" quotePrefix="0" xfId="0">
      <alignment horizontal="center" vertical="center" wrapText="1"/>
    </xf>
    <xf numFmtId="0" fontId="25" fillId="2" borderId="20" applyAlignment="1" pivotButton="0" quotePrefix="0" xfId="0">
      <alignment horizontal="center" vertical="center" wrapText="1"/>
    </xf>
    <xf numFmtId="0" fontId="25" fillId="2" borderId="27" applyAlignment="1" pivotButton="0" quotePrefix="0" xfId="0">
      <alignment horizontal="center" vertical="center" wrapText="1"/>
    </xf>
    <xf numFmtId="0" fontId="25" fillId="2" borderId="57" applyAlignment="1" pivotButton="0" quotePrefix="0" xfId="0">
      <alignment horizontal="center" vertical="center" wrapText="1"/>
    </xf>
    <xf numFmtId="0" fontId="24" fillId="2" borderId="23" applyAlignment="1" pivotButton="0" quotePrefix="0" xfId="0">
      <alignment horizontal="center" vertical="center" wrapText="1"/>
    </xf>
    <xf numFmtId="0" fontId="24" fillId="2" borderId="20" applyAlignment="1" pivotButton="0" quotePrefix="0" xfId="0">
      <alignment horizontal="center" vertical="center" wrapText="1"/>
    </xf>
    <xf numFmtId="0" fontId="24" fillId="2" borderId="27" applyAlignment="1" pivotButton="0" quotePrefix="0" xfId="0">
      <alignment horizontal="center" vertical="center" wrapText="1"/>
    </xf>
    <xf numFmtId="0" fontId="24" fillId="2" borderId="57" applyAlignment="1" pivotButton="0" quotePrefix="0" xfId="0">
      <alignment horizontal="center" vertical="center" wrapText="1"/>
    </xf>
    <xf numFmtId="164" fontId="19" fillId="16" borderId="60" applyAlignment="1" pivotButton="0" quotePrefix="0" xfId="0">
      <alignment horizontal="center"/>
    </xf>
    <xf numFmtId="164" fontId="19" fillId="16" borderId="20" applyAlignment="1" pivotButton="0" quotePrefix="0" xfId="0">
      <alignment horizontal="center"/>
    </xf>
    <xf numFmtId="0" fontId="19" fillId="16" borderId="58" applyAlignment="1" pivotButton="0" quotePrefix="0" xfId="0">
      <alignment horizontal="center"/>
    </xf>
    <xf numFmtId="0" fontId="9" fillId="6" borderId="63" applyAlignment="1" pivotButton="0" quotePrefix="0" xfId="0">
      <alignment horizontal="center"/>
    </xf>
    <xf numFmtId="0" fontId="3" fillId="0" borderId="64" pivotButton="0" quotePrefix="0" xfId="0"/>
    <xf numFmtId="0" fontId="2" fillId="2" borderId="6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0" fillId="5" borderId="76" applyAlignment="1" pivotButton="0" quotePrefix="0" xfId="0">
      <alignment horizontal="center"/>
    </xf>
    <xf numFmtId="0" fontId="5" fillId="0" borderId="76" pivotButton="0" quotePrefix="0" xfId="0"/>
    <xf numFmtId="0" fontId="1" fillId="0" borderId="76" pivotButton="0" quotePrefix="0" xfId="0"/>
    <xf numFmtId="3" fontId="1" fillId="0" borderId="76" pivotButton="0" quotePrefix="0" xfId="0"/>
    <xf numFmtId="0" fontId="1" fillId="0" borderId="76" applyAlignment="1" pivotButton="0" quotePrefix="0" xfId="0">
      <alignment horizontal="center"/>
    </xf>
    <xf numFmtId="0" fontId="17" fillId="16" borderId="20" applyAlignment="1" pivotButton="0" quotePrefix="0" xfId="0">
      <alignment horizontal="center"/>
    </xf>
    <xf numFmtId="9" fontId="1" fillId="0" borderId="76" pivotButton="0" quotePrefix="0" xfId="1"/>
    <xf numFmtId="0" fontId="0" fillId="0" borderId="69" pivotButton="0" quotePrefix="0" xfId="0"/>
    <xf numFmtId="0" fontId="0" fillId="0" borderId="73" pivotButton="0" quotePrefix="0" xfId="0"/>
    <xf numFmtId="0" fontId="0" fillId="0" borderId="74" pivotButton="0" quotePrefix="0" xfId="0"/>
    <xf numFmtId="0" fontId="0" fillId="0" borderId="71" pivotButton="0" quotePrefix="0" xfId="0"/>
    <xf numFmtId="0" fontId="0" fillId="0" borderId="72" pivotButton="0" quotePrefix="0" xfId="0"/>
    <xf numFmtId="0" fontId="1" fillId="3" borderId="76" applyAlignment="1" pivotButton="0" quotePrefix="0" xfId="0">
      <alignment horizontal="center" vertical="center"/>
    </xf>
    <xf numFmtId="0" fontId="19" fillId="16" borderId="14" applyAlignment="1" pivotButton="0" quotePrefix="0" xfId="0">
      <alignment horizontal="center" vertical="center" textRotation="90"/>
    </xf>
    <xf numFmtId="0" fontId="0" fillId="0" borderId="21" pivotButton="0" quotePrefix="0" xfId="0"/>
    <xf numFmtId="9" fontId="6" fillId="0" borderId="76" applyAlignment="1" pivotButton="0" quotePrefix="0" xfId="0">
      <alignment horizontal="center" vertical="center"/>
    </xf>
    <xf numFmtId="164" fontId="1" fillId="9" borderId="12" applyAlignment="1" pivotButton="0" quotePrefix="0" xfId="0">
      <alignment horizontal="center"/>
    </xf>
    <xf numFmtId="169" fontId="1" fillId="0" borderId="76" pivotButton="0" quotePrefix="0" xfId="2"/>
    <xf numFmtId="169" fontId="1" fillId="0" borderId="12" pivotButton="0" quotePrefix="0" xfId="2"/>
    <xf numFmtId="169" fontId="1" fillId="0" borderId="11" pivotButton="0" quotePrefix="0" xfId="2"/>
    <xf numFmtId="168" fontId="6" fillId="0" borderId="76" pivotButton="0" quotePrefix="0" xfId="3"/>
    <xf numFmtId="168" fontId="6" fillId="0" borderId="14" pivotButton="0" quotePrefix="0" xfId="3"/>
    <xf numFmtId="3" fontId="6" fillId="0" borderId="76" pivotButton="0" quotePrefix="0" xfId="3"/>
    <xf numFmtId="9" fontId="6" fillId="0" borderId="76" pivotButton="0" quotePrefix="0" xfId="1"/>
    <xf numFmtId="0" fontId="0" fillId="0" borderId="12" pivotButton="0" quotePrefix="0" xfId="0"/>
    <xf numFmtId="169" fontId="6" fillId="0" borderId="76" pivotButton="0" quotePrefix="0" xfId="2"/>
    <xf numFmtId="169" fontId="6" fillId="0" borderId="14" pivotButton="0" quotePrefix="0" xfId="2"/>
    <xf numFmtId="0" fontId="0" fillId="0" borderId="27" pivotButton="0" quotePrefix="0" xfId="0"/>
    <xf numFmtId="0" fontId="0" fillId="0" borderId="57" pivotButton="0" quotePrefix="0" xfId="0"/>
    <xf numFmtId="3" fontId="1" fillId="0" borderId="13" pivotButton="0" quotePrefix="0" xfId="0"/>
    <xf numFmtId="3" fontId="6" fillId="5" borderId="76" pivotButton="0" quotePrefix="0" xfId="0"/>
    <xf numFmtId="165" fontId="1" fillId="0" borderId="76" pivotButton="0" quotePrefix="0" xfId="0"/>
    <xf numFmtId="3" fontId="1" fillId="0" borderId="15" pivotButton="0" quotePrefix="0" xfId="0"/>
    <xf numFmtId="164" fontId="1" fillId="5" borderId="76" pivotButton="0" quotePrefix="0" xfId="0"/>
    <xf numFmtId="0" fontId="1" fillId="7" borderId="76" pivotButton="0" quotePrefix="0" xfId="0"/>
    <xf numFmtId="0" fontId="9" fillId="0" borderId="76" pivotButton="0" quotePrefix="0" xfId="0"/>
    <xf numFmtId="3" fontId="9" fillId="0" borderId="76" pivotButton="0" quotePrefix="0" xfId="0"/>
    <xf numFmtId="164" fontId="1" fillId="0" borderId="76" pivotButton="0" quotePrefix="0" xfId="0"/>
    <xf numFmtId="9" fontId="9" fillId="0" borderId="76" pivotButton="0" quotePrefix="0" xfId="0"/>
    <xf numFmtId="0" fontId="0" fillId="0" borderId="64" pivotButton="0" quotePrefix="0" xfId="0"/>
    <xf numFmtId="9" fontId="9" fillId="17" borderId="76" applyAlignment="1" pivotButton="0" quotePrefix="0" xfId="1">
      <alignment horizontal="center"/>
    </xf>
    <xf numFmtId="166" fontId="1" fillId="0" borderId="76" pivotButton="0" quotePrefix="0" xfId="0"/>
    <xf numFmtId="0" fontId="31" fillId="0" borderId="0" pivotButton="0" quotePrefix="0" xfId="0"/>
    <xf numFmtId="0" fontId="0" fillId="0" borderId="79" pivotButton="0" quotePrefix="0" xfId="0"/>
    <xf numFmtId="166" fontId="29" fillId="0" borderId="59" pivotButton="0" quotePrefix="0" xfId="0"/>
    <xf numFmtId="166" fontId="6" fillId="0" borderId="76" pivotButton="0" quotePrefix="0" xfId="3"/>
    <xf numFmtId="166" fontId="6" fillId="0" borderId="76" pivotButton="0" quotePrefix="0" xfId="1"/>
    <xf numFmtId="166" fontId="1" fillId="0" borderId="13" pivotButton="0" quotePrefix="0" xfId="0"/>
    <xf numFmtId="166" fontId="1" fillId="0" borderId="15" pivotButton="0" quotePrefix="0" xfId="0"/>
    <xf numFmtId="166" fontId="6" fillId="5" borderId="76" pivotButton="0" quotePrefix="0" xfId="0"/>
    <xf numFmtId="170" fontId="1" fillId="5" borderId="76" pivotButton="0" quotePrefix="0" xfId="0"/>
    <xf numFmtId="166" fontId="1" fillId="0" borderId="12" pivotButton="0" quotePrefix="0" xfId="0"/>
    <xf numFmtId="166" fontId="9" fillId="0" borderId="76" pivotButton="0" quotePrefix="0" xfId="0"/>
  </cellXfs>
  <cellStyles count="4">
    <cellStyle name="Normal" xfId="0" builtinId="0"/>
    <cellStyle name="Porcentaje" xfId="1" builtinId="5"/>
    <cellStyle name="Millares" xfId="2" builtinId="3"/>
    <cellStyle name="Moneda" xfId="3" builtinId="4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dof.gob.mx/nota_detalle.php?codigo=5264340&amp;fecha=15/08/2012" TargetMode="External" Id="rId1" 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Z1000"/>
  <sheetViews>
    <sheetView showGridLines="0" workbookViewId="0">
      <selection activeCell="H12" sqref="H12"/>
    </sheetView>
  </sheetViews>
  <sheetFormatPr baseColWidth="10" defaultColWidth="14.453125" defaultRowHeight="15" customHeight="1"/>
  <cols>
    <col width="4.453125" customWidth="1" min="1" max="1"/>
    <col width="30.7265625" customWidth="1" min="2" max="2"/>
    <col width="14.1796875" customWidth="1" min="3" max="3"/>
    <col width="13" customWidth="1" min="4" max="5"/>
    <col width="19" customWidth="1" min="6" max="6"/>
    <col width="11.453125" customWidth="1" min="7" max="26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>
      <c r="A2" s="1" t="n"/>
      <c r="B2" s="224" t="inlineStr">
        <is>
          <t>CAPEX</t>
        </is>
      </c>
      <c r="C2" s="225" t="n"/>
      <c r="D2" s="225" t="n"/>
      <c r="E2" s="225" t="n"/>
      <c r="F2" s="226" t="n"/>
      <c r="G2" s="2" t="n"/>
      <c r="H2" s="2" t="n"/>
      <c r="I2" s="2" t="n"/>
      <c r="J2" s="2" t="n"/>
      <c r="K2" s="2" t="n"/>
      <c r="L2" s="2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1" t="n"/>
      <c r="B3" s="227" t="n"/>
      <c r="C3" s="228" t="n"/>
      <c r="D3" s="228" t="n"/>
      <c r="E3" s="228" t="n"/>
      <c r="F3" s="229" t="n"/>
      <c r="G3" s="2" t="n"/>
      <c r="H3" s="2" t="n"/>
      <c r="I3" s="2" t="n"/>
      <c r="J3" s="2" t="n"/>
      <c r="K3" s="2" t="n"/>
      <c r="L3" s="2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>
      <c r="A5" s="1" t="n"/>
      <c r="B5" s="3" t="inlineStr">
        <is>
          <t>Totales</t>
        </is>
      </c>
      <c r="C5" s="4">
        <f>+SUM(C7:C138)</f>
        <v/>
      </c>
      <c r="D5" s="5" t="n"/>
      <c r="E5" s="5" t="n"/>
      <c r="F5" s="4">
        <f>+SUM(F7:F138)</f>
        <v/>
      </c>
      <c r="G5" s="1" t="n"/>
      <c r="H5" s="6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47.25" customHeight="1">
      <c r="A6" s="1" t="n"/>
      <c r="B6" s="230" t="inlineStr">
        <is>
          <t>Conceptos</t>
        </is>
      </c>
      <c r="C6" s="8" t="inlineStr">
        <is>
          <t>Valor de adquisición (Sin IVA)</t>
        </is>
      </c>
      <c r="D6" s="8" t="inlineStr">
        <is>
          <t>Vida útil (años)</t>
        </is>
      </c>
      <c r="E6" s="8" t="inlineStr">
        <is>
          <t>Vida útil (meses)</t>
        </is>
      </c>
      <c r="F6" s="8" t="inlineStr">
        <is>
          <t>Amortización o depreciación ($)</t>
        </is>
      </c>
      <c r="G6" s="1" t="n"/>
      <c r="H6" s="231" t="inlineStr">
        <is>
          <t>Parámetros de vida útil — México (tasa máx. ISR art. 33-34)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>
      <c r="A7" s="1" t="n"/>
      <c r="B7" s="232" t="inlineStr">
        <is>
          <t>[Vehículos] Camioneta/van de instalación (seminueva)</t>
        </is>
      </c>
      <c r="C7" s="271" t="n">
        <v>420000</v>
      </c>
      <c r="D7" s="234" t="n">
        <v>4</v>
      </c>
      <c r="E7" s="234">
        <f>+D7*12</f>
        <v/>
      </c>
      <c r="F7" s="271">
        <f>+IF(E7&gt;0,C7/E7,0)</f>
        <v/>
      </c>
      <c r="G7" s="1" t="n"/>
      <c r="H7" s="232" t="inlineStr">
        <is>
          <t>Construcciones / adecuaciones</t>
        </is>
      </c>
      <c r="I7" s="232" t="inlineStr">
        <is>
          <t>5% · 20 años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>
      <c r="A8" s="1" t="n"/>
      <c r="B8" s="232" t="inlineStr">
        <is>
          <t>[Vehículos] Remolque para transporte de paneles</t>
        </is>
      </c>
      <c r="C8" s="271" t="n">
        <v>60000</v>
      </c>
      <c r="D8" s="234" t="n">
        <v>5</v>
      </c>
      <c r="E8" s="234">
        <f>+D8*12</f>
        <v/>
      </c>
      <c r="F8" s="271">
        <f>+IF(E8&gt;0,C8/E8,0)</f>
        <v/>
      </c>
      <c r="G8" s="1" t="n"/>
      <c r="H8" s="232" t="inlineStr">
        <is>
          <t>Mobiliario y equipo de oficina</t>
        </is>
      </c>
      <c r="I8" s="232" t="inlineStr">
        <is>
          <t>10% · 10 años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>
      <c r="A9" s="1" t="n"/>
      <c r="B9" s="232" t="inlineStr">
        <is>
          <t>[Herramienta] Kit de herramienta eléctrica (taladros, rotomartillo)</t>
        </is>
      </c>
      <c r="C9" s="271" t="n">
        <v>45000</v>
      </c>
      <c r="D9" s="234" t="n">
        <v>4</v>
      </c>
      <c r="E9" s="234">
        <f>+D9*12</f>
        <v/>
      </c>
      <c r="F9" s="271">
        <f>+IF(E9&gt;0,C9/E9,0)</f>
        <v/>
      </c>
      <c r="G9" s="1" t="n"/>
      <c r="H9" s="232" t="inlineStr">
        <is>
          <t>Equipo de cómputo</t>
        </is>
      </c>
      <c r="I9" s="232" t="inlineStr">
        <is>
          <t>30% · 3.3 años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>
      <c r="A10" s="1" t="n"/>
      <c r="B10" s="232" t="inlineStr">
        <is>
          <t>[Herramienta] Herramienta manual e instrumentos de medición eléctrica</t>
        </is>
      </c>
      <c r="C10" s="271" t="n">
        <v>38000</v>
      </c>
      <c r="D10" s="234" t="n">
        <v>4</v>
      </c>
      <c r="E10" s="234">
        <f>+D10*12</f>
        <v/>
      </c>
      <c r="F10" s="271">
        <f>+IF(E10&gt;0,C10/E10,0)</f>
        <v/>
      </c>
      <c r="G10" s="1" t="n"/>
      <c r="H10" s="232" t="inlineStr">
        <is>
          <t>Automóviles y vehículos</t>
        </is>
      </c>
      <c r="I10" s="232" t="inlineStr">
        <is>
          <t>25% · 4 años</t>
        </is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>
      <c r="A11" s="1" t="n"/>
      <c r="B11" s="232" t="inlineStr">
        <is>
          <t>[Herramienta] Equipo de seguridad en altura (arneses, líneas de vida)</t>
        </is>
      </c>
      <c r="C11" s="271" t="n">
        <v>35000</v>
      </c>
      <c r="D11" s="234" t="n">
        <v>3</v>
      </c>
      <c r="E11" s="234">
        <f>+D11*12</f>
        <v/>
      </c>
      <c r="F11" s="271">
        <f>+IF(E11&gt;0,C11/E11,0)</f>
        <v/>
      </c>
      <c r="G11" s="1" t="n"/>
      <c r="H11" s="232" t="inlineStr">
        <is>
          <t>Maquinaria y equipo (general)</t>
        </is>
      </c>
      <c r="I11" s="232" t="inlineStr">
        <is>
          <t>10% · 10 años</t>
        </is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>
      <c r="A12" s="1" t="n"/>
      <c r="B12" s="232" t="inlineStr">
        <is>
          <t>[Herramienta] Andamios y escaleras</t>
        </is>
      </c>
      <c r="C12" s="271" t="n">
        <v>28000</v>
      </c>
      <c r="D12" s="234" t="n">
        <v>5</v>
      </c>
      <c r="E12" s="234">
        <f>+D12*12</f>
        <v/>
      </c>
      <c r="F12" s="271">
        <f>+IF(E12&gt;0,C12/E12,0)</f>
        <v/>
      </c>
      <c r="G12" s="1" t="n"/>
      <c r="H12" s="232" t="inlineStr">
        <is>
          <t>Herramienta, dados y troqueles</t>
        </is>
      </c>
      <c r="I12" s="232" t="inlineStr">
        <is>
          <t>35% · ≈3 años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>
      <c r="A13" s="1" t="n"/>
      <c r="B13" s="232" t="inlineStr">
        <is>
          <t>[Herramienta] Estación de crimpado y conectorización solar (MC4)</t>
        </is>
      </c>
      <c r="C13" s="271" t="n">
        <v>18000</v>
      </c>
      <c r="D13" s="232" t="n">
        <v>5</v>
      </c>
      <c r="E13" s="232">
        <f>+D13*12</f>
        <v/>
      </c>
      <c r="F13" s="271">
        <f>+IF(E13&gt;0,C13/E13,0)</f>
        <v/>
      </c>
      <c r="G13" s="1" t="n"/>
      <c r="H13" s="232" t="inlineStr">
        <is>
          <t>Equipo de comunicación telefónica</t>
        </is>
      </c>
      <c r="I13" s="232" t="inlineStr">
        <is>
          <t>25% · 4 años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>
      <c r="A14" s="1" t="n"/>
      <c r="B14" s="232" t="inlineStr">
        <is>
          <t>[Cómputo] Laptops y equipo de diseño (4)</t>
        </is>
      </c>
      <c r="C14" s="271" t="n">
        <v>80000</v>
      </c>
      <c r="D14" s="232" t="n">
        <v>3</v>
      </c>
      <c r="E14" s="232">
        <f>+D14*12</f>
        <v/>
      </c>
      <c r="F14" s="271">
        <f>+IF(E14&gt;0,C14/E14,0)</f>
        <v/>
      </c>
      <c r="G14" s="1" t="n"/>
      <c r="H14" s="232" t="inlineStr">
        <is>
          <t>Gastos diferidos / intangibles</t>
        </is>
      </c>
      <c r="I14" s="232" t="inlineStr">
        <is>
          <t>15% · ≈6.7 años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>
      <c r="A15" s="1" t="n"/>
      <c r="B15" s="232" t="inlineStr">
        <is>
          <t>[Cómputo] Servidor/NAS y sistema de respaldo</t>
        </is>
      </c>
      <c r="C15" s="271" t="n">
        <v>30000</v>
      </c>
      <c r="D15" s="234" t="n">
        <v>4</v>
      </c>
      <c r="E15" s="234">
        <f>+D15*12</f>
        <v/>
      </c>
      <c r="F15" s="271">
        <f>+IF(E15&gt;0,C15/E15,0)</f>
        <v/>
      </c>
      <c r="G15" s="1" t="n"/>
      <c r="H15" s="232" t="inlineStr">
        <is>
          <t>Gastos preoperativos</t>
        </is>
      </c>
      <c r="I15" s="232" t="inlineStr">
        <is>
          <t>10% · 10 años</t>
        </is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>
      <c r="A16" s="1" t="n"/>
      <c r="B16" s="232" t="inlineStr">
        <is>
          <t>[Cómputo] Smartphones y tablets de campo (3)</t>
        </is>
      </c>
      <c r="C16" s="271" t="n">
        <v>24000</v>
      </c>
      <c r="D16" s="232" t="n">
        <v>2</v>
      </c>
      <c r="E16" s="232">
        <f>+D16*12</f>
        <v/>
      </c>
      <c r="F16" s="271">
        <f>+IF(E16&gt;0,C16/E16,0)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>
      <c r="A17" s="1" t="n"/>
      <c r="B17" s="232" t="inlineStr">
        <is>
          <t>[Cómputo] Impresora/multifuncional</t>
        </is>
      </c>
      <c r="C17" s="271" t="n">
        <v>8000</v>
      </c>
      <c r="D17" s="232" t="n">
        <v>4</v>
      </c>
      <c r="E17" s="232">
        <f>+D17*12</f>
        <v/>
      </c>
      <c r="F17" s="271">
        <f>+IF(E17&gt;0,C17/E17,0)</f>
        <v/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>
      <c r="A18" s="1" t="n"/>
      <c r="B18" s="232" t="inlineStr">
        <is>
          <t>[Mobiliario] Mobiliario de oficina (escritorios, sillas, salas)</t>
        </is>
      </c>
      <c r="C18" s="271" t="n">
        <v>55000</v>
      </c>
      <c r="D18" s="232" t="n">
        <v>10</v>
      </c>
      <c r="E18" s="232">
        <f>+D18*12</f>
        <v/>
      </c>
      <c r="F18" s="271">
        <f>+IF(E18&gt;0,C18/E18,0)</f>
        <v/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>
      <c r="A19" s="1" t="n"/>
      <c r="B19" s="232" t="inlineStr">
        <is>
          <t>[Mobiliario] Anaqueles y racks de bodega</t>
        </is>
      </c>
      <c r="C19" s="271" t="n">
        <v>40000</v>
      </c>
      <c r="D19" s="232" t="n">
        <v>10</v>
      </c>
      <c r="E19" s="232">
        <f>+D19*12</f>
        <v/>
      </c>
      <c r="F19" s="271">
        <f>+IF(E19&gt;0,C19/E19,0)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>
      <c r="A20" s="1" t="n"/>
      <c r="B20" s="232" t="inlineStr">
        <is>
          <t>[Mobiliario] Adecuación de bodega y oficina (obra menor)</t>
        </is>
      </c>
      <c r="C20" s="271" t="n">
        <v>70000</v>
      </c>
      <c r="D20" s="232" t="n">
        <v>5</v>
      </c>
      <c r="E20" s="232">
        <f>+D20*12</f>
        <v/>
      </c>
      <c r="F20" s="271">
        <f>+IF(E20&gt;0,C20/E20,0)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>
      <c r="A21" s="1" t="n"/>
      <c r="B21" s="232" t="inlineStr">
        <is>
          <t>[Mobiliario] Clima / aire acondicionado</t>
        </is>
      </c>
      <c r="C21" s="271" t="n">
        <v>22000</v>
      </c>
      <c r="D21" s="232" t="n">
        <v>10</v>
      </c>
      <c r="E21" s="232">
        <f>+D21*12</f>
        <v/>
      </c>
      <c r="F21" s="271">
        <f>+IF(E21&gt;0,C21/E21,0)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>
      <c r="A22" s="1" t="n"/>
      <c r="B22" s="232" t="inlineStr">
        <is>
          <t>[Demostración] Sistema demostrativo showroom (panel+inversor+batería)</t>
        </is>
      </c>
      <c r="C22" s="271" t="n">
        <v>50000</v>
      </c>
      <c r="D22" s="232" t="n">
        <v>5</v>
      </c>
      <c r="E22" s="232">
        <f>+D22*12</f>
        <v/>
      </c>
      <c r="F22" s="271">
        <f>+IF(E22&gt;0,C22/E22,0)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>
      <c r="A23" s="1" t="n"/>
      <c r="B23" s="232" t="inlineStr">
        <is>
          <t>[Intangibles SW] Desarrollo App móvil iOS/Android (MVP)</t>
        </is>
      </c>
      <c r="C23" s="271" t="n">
        <v>360000</v>
      </c>
      <c r="D23" s="232" t="n">
        <v>3</v>
      </c>
      <c r="E23" s="232">
        <f>+D23*12</f>
        <v/>
      </c>
      <c r="F23" s="271">
        <f>+IF(E23&gt;0,C23/E23,0)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>
      <c r="A24" s="1" t="n"/>
      <c r="B24" s="232" t="inlineStr">
        <is>
          <t>[Intangibles SW] Plataforma de monitoreo + módulo IA (backend)</t>
        </is>
      </c>
      <c r="C24" s="271" t="n">
        <v>260000</v>
      </c>
      <c r="D24" s="232" t="n">
        <v>3</v>
      </c>
      <c r="E24" s="232">
        <f>+D24*12</f>
        <v/>
      </c>
      <c r="F24" s="271">
        <f>+IF(E24&gt;0,C24/E24,0)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>
      <c r="A25" s="1" t="n"/>
      <c r="B25" s="232" t="inlineStr">
        <is>
          <t>[Intangibles SW] Implementación CRM/ERP (setup e integración)</t>
        </is>
      </c>
      <c r="C25" s="271" t="n">
        <v>55000</v>
      </c>
      <c r="D25" s="232" t="n">
        <v>3</v>
      </c>
      <c r="E25" s="232">
        <f>+D25*12</f>
        <v/>
      </c>
      <c r="F25" s="271">
        <f>+IF(E25&gt;0,C25/E25,0)</f>
        <v/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>
      <c r="A26" s="1" t="n"/>
      <c r="B26" s="232" t="inlineStr">
        <is>
          <t>[Intangibles SW] Sitio web y e-commerce</t>
        </is>
      </c>
      <c r="C26" s="271" t="n">
        <v>35000</v>
      </c>
      <c r="D26" s="232" t="n">
        <v>3</v>
      </c>
      <c r="E26" s="232">
        <f>+D26*12</f>
        <v/>
      </c>
      <c r="F26" s="271">
        <f>+IF(E26&gt;0,C26/E26,0)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>
      <c r="A27" s="1" t="n"/>
      <c r="B27" s="232" t="inlineStr">
        <is>
          <t>[Preoperativos] Registro de marca e identidad visual</t>
        </is>
      </c>
      <c r="C27" s="271" t="n">
        <v>40000</v>
      </c>
      <c r="D27" s="232" t="n">
        <v>5</v>
      </c>
      <c r="E27" s="232">
        <f>+D27*12</f>
        <v/>
      </c>
      <c r="F27" s="271">
        <f>+IF(E27&gt;0,C27/E27,0)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>
      <c r="A28" s="1" t="n"/>
      <c r="B28" s="232" t="inlineStr">
        <is>
          <t>[Preoperativos] Constitución legal y permisos iniciales</t>
        </is>
      </c>
      <c r="C28" s="271" t="n">
        <v>38000</v>
      </c>
      <c r="D28" s="232" t="n">
        <v>5</v>
      </c>
      <c r="E28" s="232">
        <f>+D28*12</f>
        <v/>
      </c>
      <c r="F28" s="271">
        <f>+IF(E28&gt;0,C28/E28,0)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>
      <c r="A29" s="1" t="n"/>
      <c r="B29" s="232" t="inlineStr">
        <is>
          <t>[Preoperativos] Certificaciones (NOM/UL, capacitación CONUEE/CRE)</t>
        </is>
      </c>
      <c r="C29" s="271" t="n">
        <v>32000</v>
      </c>
      <c r="D29" s="232" t="n">
        <v>3</v>
      </c>
      <c r="E29" s="232">
        <f>+D29*12</f>
        <v/>
      </c>
      <c r="F29" s="271">
        <f>+IF(E29&gt;0,C29/E29,0)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>
      <c r="A30" s="1" t="n"/>
      <c r="B30" s="9" t="n"/>
      <c r="C30" s="4" t="n"/>
      <c r="D30" s="9" t="n"/>
      <c r="E30" s="9" t="n"/>
      <c r="F30" s="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>
      <c r="A31" s="1" t="n"/>
      <c r="B31" s="9" t="n"/>
      <c r="C31" s="4" t="n"/>
      <c r="D31" s="9" t="n"/>
      <c r="E31" s="9" t="n"/>
      <c r="F31" s="4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>
      <c r="A32" s="1" t="n"/>
      <c r="B32" s="9" t="n"/>
      <c r="C32" s="4" t="n"/>
      <c r="D32" s="9" t="n"/>
      <c r="E32" s="9" t="n"/>
      <c r="F32" s="4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>
      <c r="A33" s="1" t="n"/>
      <c r="B33" s="9" t="n"/>
      <c r="C33" s="4" t="n"/>
      <c r="D33" s="9" t="n"/>
      <c r="E33" s="9" t="n"/>
      <c r="F33" s="4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>
      <c r="A34" s="1" t="n"/>
      <c r="B34" s="9" t="n"/>
      <c r="C34" s="4" t="n"/>
      <c r="D34" s="9" t="n"/>
      <c r="E34" s="9" t="n"/>
      <c r="F34" s="4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>
      <c r="A35" s="1" t="n"/>
      <c r="B35" s="9" t="n"/>
      <c r="C35" s="4" t="n"/>
      <c r="D35" s="9" t="n"/>
      <c r="E35" s="9" t="n"/>
      <c r="F35" s="4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>
      <c r="A36" s="1" t="n"/>
      <c r="B36" s="9" t="n"/>
      <c r="C36" s="4" t="n"/>
      <c r="D36" s="9" t="n"/>
      <c r="E36" s="9" t="n"/>
      <c r="F36" s="4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>
      <c r="A37" s="1" t="n"/>
      <c r="B37" s="9" t="n"/>
      <c r="C37" s="4" t="n"/>
      <c r="D37" s="9" t="n"/>
      <c r="E37" s="9" t="n"/>
      <c r="F37" s="4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>
      <c r="A38" s="1" t="n"/>
      <c r="B38" s="9" t="n"/>
      <c r="C38" s="4" t="n"/>
      <c r="D38" s="9" t="n"/>
      <c r="E38" s="9" t="n"/>
      <c r="F38" s="4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>
      <c r="A39" s="1" t="n"/>
      <c r="B39" s="9" t="n"/>
      <c r="C39" s="4" t="n"/>
      <c r="D39" s="9" t="n"/>
      <c r="E39" s="9" t="n"/>
      <c r="F39" s="4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>
      <c r="A40" s="1" t="n"/>
      <c r="B40" s="9" t="n"/>
      <c r="C40" s="4" t="n"/>
      <c r="D40" s="9" t="n"/>
      <c r="E40" s="9" t="n"/>
      <c r="F40" s="4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>
      <c r="A41" s="1" t="n"/>
      <c r="B41" s="9" t="n"/>
      <c r="C41" s="4" t="n"/>
      <c r="D41" s="9" t="n"/>
      <c r="E41" s="9" t="n"/>
      <c r="F41" s="4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>
      <c r="A42" s="1" t="n"/>
      <c r="B42" s="9" t="n"/>
      <c r="C42" s="4" t="n"/>
      <c r="D42" s="9" t="n"/>
      <c r="E42" s="9" t="n"/>
      <c r="F42" s="4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>
      <c r="A43" s="1" t="n"/>
      <c r="B43" s="9" t="n"/>
      <c r="C43" s="4" t="n"/>
      <c r="D43" s="9" t="n"/>
      <c r="E43" s="9" t="n"/>
      <c r="F43" s="4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>
      <c r="A44" s="1" t="n"/>
      <c r="B44" s="9" t="n"/>
      <c r="C44" s="4" t="n"/>
      <c r="D44" s="9" t="n"/>
      <c r="E44" s="9" t="n"/>
      <c r="F44" s="4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>
      <c r="A45" s="1" t="n"/>
      <c r="B45" s="9" t="n"/>
      <c r="C45" s="4" t="n"/>
      <c r="D45" s="9" t="n"/>
      <c r="E45" s="9" t="n"/>
      <c r="F45" s="4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>
      <c r="A46" s="1" t="n"/>
      <c r="B46" s="9" t="n"/>
      <c r="C46" s="4" t="n"/>
      <c r="D46" s="9" t="n"/>
      <c r="E46" s="9" t="n"/>
      <c r="F46" s="4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>
      <c r="A47" s="1" t="n"/>
      <c r="B47" s="9" t="n"/>
      <c r="C47" s="4" t="n"/>
      <c r="D47" s="9" t="n"/>
      <c r="E47" s="9" t="n"/>
      <c r="F47" s="4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>
      <c r="A48" s="1" t="n"/>
      <c r="B48" s="9" t="n"/>
      <c r="C48" s="4" t="n"/>
      <c r="D48" s="9" t="n"/>
      <c r="E48" s="9" t="n"/>
      <c r="F48" s="4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>
      <c r="A49" s="1" t="n"/>
      <c r="B49" s="9" t="n"/>
      <c r="C49" s="4" t="n"/>
      <c r="D49" s="9" t="n"/>
      <c r="E49" s="9" t="n"/>
      <c r="F49" s="4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>
      <c r="A50" s="1" t="n"/>
      <c r="B50" s="9" t="n"/>
      <c r="C50" s="4" t="n"/>
      <c r="D50" s="9" t="n"/>
      <c r="E50" s="9" t="n"/>
      <c r="F50" s="4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>
      <c r="A51" s="1" t="n"/>
      <c r="B51" s="9" t="n"/>
      <c r="C51" s="4" t="n"/>
      <c r="D51" s="9" t="n"/>
      <c r="E51" s="9" t="n"/>
      <c r="F51" s="4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>
      <c r="A52" s="1" t="n"/>
      <c r="B52" s="9" t="n"/>
      <c r="C52" s="4" t="n"/>
      <c r="D52" s="9" t="n"/>
      <c r="E52" s="9" t="n"/>
      <c r="F52" s="4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>
      <c r="A53" s="1" t="n"/>
      <c r="B53" s="9" t="n"/>
      <c r="C53" s="4" t="n"/>
      <c r="D53" s="9" t="n"/>
      <c r="E53" s="9" t="n"/>
      <c r="F53" s="4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>
      <c r="A54" s="1" t="n"/>
      <c r="B54" s="9" t="n"/>
      <c r="C54" s="4" t="n"/>
      <c r="D54" s="9" t="n"/>
      <c r="E54" s="9" t="n"/>
      <c r="F54" s="4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>
      <c r="A55" s="1" t="n"/>
      <c r="B55" s="9" t="n"/>
      <c r="C55" s="4" t="n"/>
      <c r="D55" s="9" t="n"/>
      <c r="E55" s="9" t="n"/>
      <c r="F55" s="4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>
      <c r="A56" s="1" t="n"/>
      <c r="B56" s="9" t="n"/>
      <c r="C56" s="4" t="n"/>
      <c r="D56" s="9" t="n"/>
      <c r="E56" s="9" t="n"/>
      <c r="F56" s="4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>
      <c r="A57" s="1" t="n"/>
      <c r="B57" s="9" t="n"/>
      <c r="C57" s="4" t="n"/>
      <c r="D57" s="9" t="n"/>
      <c r="E57" s="9" t="n"/>
      <c r="F57" s="4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>
      <c r="A58" s="1" t="n"/>
      <c r="B58" s="9" t="n"/>
      <c r="C58" s="4" t="n"/>
      <c r="D58" s="9" t="n"/>
      <c r="E58" s="9" t="n"/>
      <c r="F58" s="4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>
      <c r="A59" s="1" t="n"/>
      <c r="B59" s="9" t="n"/>
      <c r="C59" s="4" t="n"/>
      <c r="D59" s="9" t="n"/>
      <c r="E59" s="9" t="n"/>
      <c r="F59" s="4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>
      <c r="A60" s="1" t="n"/>
      <c r="B60" s="9" t="n"/>
      <c r="C60" s="4" t="n"/>
      <c r="D60" s="9" t="n"/>
      <c r="E60" s="9" t="n"/>
      <c r="F60" s="4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>
      <c r="A61" s="1" t="n"/>
      <c r="B61" s="9" t="n"/>
      <c r="C61" s="4" t="n"/>
      <c r="D61" s="9" t="n"/>
      <c r="E61" s="9" t="n"/>
      <c r="F61" s="4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>
      <c r="A62" s="1" t="n"/>
      <c r="B62" s="9" t="n"/>
      <c r="C62" s="4" t="n"/>
      <c r="D62" s="9" t="n"/>
      <c r="E62" s="9" t="n"/>
      <c r="F62" s="4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>
      <c r="A63" s="1" t="n"/>
      <c r="B63" s="9" t="n"/>
      <c r="C63" s="4" t="n"/>
      <c r="D63" s="9" t="n"/>
      <c r="E63" s="9" t="n"/>
      <c r="F63" s="4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>
      <c r="A64" s="1" t="n"/>
      <c r="B64" s="9" t="n"/>
      <c r="C64" s="4" t="n"/>
      <c r="D64" s="9" t="n"/>
      <c r="E64" s="9" t="n"/>
      <c r="F64" s="4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>
      <c r="A65" s="1" t="n"/>
      <c r="B65" s="9" t="n"/>
      <c r="C65" s="4" t="n"/>
      <c r="D65" s="9" t="n"/>
      <c r="E65" s="9" t="n"/>
      <c r="F65" s="4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>
      <c r="A66" s="1" t="n"/>
      <c r="B66" s="9" t="n"/>
      <c r="C66" s="4" t="n"/>
      <c r="D66" s="9" t="n"/>
      <c r="E66" s="9" t="n"/>
      <c r="F66" s="4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>
      <c r="A67" s="1" t="n"/>
      <c r="B67" s="9" t="n"/>
      <c r="C67" s="4" t="n"/>
      <c r="D67" s="9" t="n"/>
      <c r="E67" s="9" t="n"/>
      <c r="F67" s="4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>
      <c r="A68" s="1" t="n"/>
      <c r="B68" s="9" t="n"/>
      <c r="C68" s="4" t="n"/>
      <c r="D68" s="9" t="n"/>
      <c r="E68" s="9" t="n"/>
      <c r="F68" s="4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>
      <c r="A69" s="1" t="n"/>
      <c r="B69" s="9" t="n"/>
      <c r="C69" s="4" t="n"/>
      <c r="D69" s="9" t="n"/>
      <c r="E69" s="9" t="n"/>
      <c r="F69" s="4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>
      <c r="A70" s="1" t="n"/>
      <c r="B70" s="9" t="n"/>
      <c r="C70" s="4" t="n"/>
      <c r="D70" s="9" t="n"/>
      <c r="E70" s="9" t="n"/>
      <c r="F70" s="4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>
      <c r="A71" s="1" t="n"/>
      <c r="B71" s="9" t="n"/>
      <c r="C71" s="4" t="n"/>
      <c r="D71" s="9" t="n"/>
      <c r="E71" s="9" t="n"/>
      <c r="F71" s="4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>
      <c r="A72" s="1" t="n"/>
      <c r="B72" s="9" t="n"/>
      <c r="C72" s="4" t="n"/>
      <c r="D72" s="9" t="n"/>
      <c r="E72" s="9" t="n"/>
      <c r="F72" s="4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>
      <c r="A73" s="1" t="n"/>
      <c r="B73" s="9" t="n"/>
      <c r="C73" s="4" t="n"/>
      <c r="D73" s="9" t="n"/>
      <c r="E73" s="9" t="n"/>
      <c r="F73" s="4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>
      <c r="A74" s="1" t="n"/>
      <c r="B74" s="9" t="n"/>
      <c r="C74" s="4" t="n"/>
      <c r="D74" s="9" t="n"/>
      <c r="E74" s="9" t="n"/>
      <c r="F74" s="4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>
      <c r="A75" s="1" t="n"/>
      <c r="B75" s="9" t="n"/>
      <c r="C75" s="4" t="n"/>
      <c r="D75" s="9" t="n"/>
      <c r="E75" s="9" t="n"/>
      <c r="F75" s="4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>
      <c r="A76" s="1" t="n"/>
      <c r="B76" s="9" t="n"/>
      <c r="C76" s="4" t="n"/>
      <c r="D76" s="9" t="n"/>
      <c r="E76" s="9" t="n"/>
      <c r="F76" s="4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>
      <c r="A77" s="1" t="n"/>
      <c r="B77" s="9" t="n"/>
      <c r="C77" s="4" t="n"/>
      <c r="D77" s="9" t="n"/>
      <c r="E77" s="9" t="n"/>
      <c r="F77" s="4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>
      <c r="A78" s="1" t="n"/>
      <c r="B78" s="9" t="n"/>
      <c r="C78" s="4" t="n"/>
      <c r="D78" s="9" t="n"/>
      <c r="E78" s="9" t="n"/>
      <c r="F78" s="4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>
      <c r="A79" s="1" t="n"/>
      <c r="B79" s="9" t="n"/>
      <c r="C79" s="4" t="n"/>
      <c r="D79" s="9" t="n"/>
      <c r="E79" s="9" t="n"/>
      <c r="F79" s="4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>
      <c r="A80" s="1" t="n"/>
      <c r="B80" s="9" t="n"/>
      <c r="C80" s="4" t="n"/>
      <c r="D80" s="9" t="n"/>
      <c r="E80" s="9" t="n"/>
      <c r="F80" s="4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>
      <c r="A81" s="1" t="n"/>
      <c r="B81" s="9" t="n"/>
      <c r="C81" s="4" t="n"/>
      <c r="D81" s="9" t="n"/>
      <c r="E81" s="9" t="n"/>
      <c r="F81" s="4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>
      <c r="A82" s="1" t="n"/>
      <c r="B82" s="9" t="n"/>
      <c r="C82" s="4" t="n"/>
      <c r="D82" s="9" t="n"/>
      <c r="E82" s="9" t="n"/>
      <c r="F82" s="4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>
      <c r="A83" s="1" t="n"/>
      <c r="B83" s="9" t="n"/>
      <c r="C83" s="4" t="n"/>
      <c r="D83" s="9" t="n"/>
      <c r="E83" s="9" t="n"/>
      <c r="F83" s="4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>
      <c r="A84" s="1" t="n"/>
      <c r="B84" s="9" t="n"/>
      <c r="C84" s="4" t="n"/>
      <c r="D84" s="9" t="n"/>
      <c r="E84" s="9" t="n"/>
      <c r="F84" s="4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>
      <c r="A85" s="1" t="n"/>
      <c r="B85" s="9" t="n"/>
      <c r="C85" s="4" t="n"/>
      <c r="D85" s="9" t="n"/>
      <c r="E85" s="9" t="n"/>
      <c r="F85" s="4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>
      <c r="A86" s="1" t="n"/>
      <c r="B86" s="9" t="n"/>
      <c r="C86" s="4" t="n"/>
      <c r="D86" s="9" t="n"/>
      <c r="E86" s="9" t="n"/>
      <c r="F86" s="4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>
      <c r="A87" s="1" t="n"/>
      <c r="B87" s="9" t="n"/>
      <c r="C87" s="4" t="n"/>
      <c r="D87" s="9" t="n"/>
      <c r="E87" s="9" t="n"/>
      <c r="F87" s="4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>
      <c r="A88" s="1" t="n"/>
      <c r="B88" s="9" t="n"/>
      <c r="C88" s="4" t="n"/>
      <c r="D88" s="9" t="n"/>
      <c r="E88" s="9" t="n"/>
      <c r="F88" s="4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>
      <c r="A89" s="1" t="n"/>
      <c r="B89" s="9" t="n"/>
      <c r="C89" s="4" t="n"/>
      <c r="D89" s="9" t="n"/>
      <c r="E89" s="9" t="n"/>
      <c r="F89" s="4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>
      <c r="A90" s="1" t="n"/>
      <c r="B90" s="9" t="n"/>
      <c r="C90" s="4" t="n"/>
      <c r="D90" s="9" t="n"/>
      <c r="E90" s="9" t="n"/>
      <c r="F90" s="4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>
      <c r="A91" s="1" t="n"/>
      <c r="B91" s="9" t="n"/>
      <c r="C91" s="4" t="n"/>
      <c r="D91" s="9" t="n"/>
      <c r="E91" s="9" t="n"/>
      <c r="F91" s="4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>
      <c r="A92" s="1" t="n"/>
      <c r="B92" s="9" t="n"/>
      <c r="C92" s="4" t="n"/>
      <c r="D92" s="9" t="n"/>
      <c r="E92" s="9" t="n"/>
      <c r="F92" s="4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>
      <c r="A93" s="1" t="n"/>
      <c r="B93" s="9" t="n"/>
      <c r="C93" s="4" t="n"/>
      <c r="D93" s="9" t="n"/>
      <c r="E93" s="9" t="n"/>
      <c r="F93" s="4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>
      <c r="A94" s="1" t="n"/>
      <c r="B94" s="9" t="n"/>
      <c r="C94" s="4" t="n"/>
      <c r="D94" s="9" t="n"/>
      <c r="E94" s="9" t="n"/>
      <c r="F94" s="4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>
      <c r="A95" s="1" t="n"/>
      <c r="B95" s="9" t="n"/>
      <c r="C95" s="4" t="n"/>
      <c r="D95" s="9" t="n"/>
      <c r="E95" s="9" t="n"/>
      <c r="F95" s="4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>
      <c r="A96" s="1" t="n"/>
      <c r="B96" s="9" t="n"/>
      <c r="C96" s="4" t="n"/>
      <c r="D96" s="9" t="n"/>
      <c r="E96" s="9" t="n"/>
      <c r="F96" s="4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>
      <c r="A97" s="1" t="n"/>
      <c r="B97" s="9" t="n"/>
      <c r="C97" s="4" t="n"/>
      <c r="D97" s="9" t="n"/>
      <c r="E97" s="9" t="n"/>
      <c r="F97" s="4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>
      <c r="A98" s="1" t="n"/>
      <c r="B98" s="9" t="n"/>
      <c r="C98" s="4" t="n"/>
      <c r="D98" s="9" t="n"/>
      <c r="E98" s="9" t="n"/>
      <c r="F98" s="4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>
      <c r="A99" s="1" t="n"/>
      <c r="B99" s="9" t="n"/>
      <c r="C99" s="4" t="n"/>
      <c r="D99" s="9" t="n"/>
      <c r="E99" s="9" t="n"/>
      <c r="F99" s="4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>
      <c r="A100" s="1" t="n"/>
      <c r="B100" s="9" t="n"/>
      <c r="C100" s="4" t="n"/>
      <c r="D100" s="9" t="n"/>
      <c r="E100" s="9" t="n"/>
      <c r="F100" s="4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>
      <c r="A101" s="1" t="n"/>
      <c r="B101" s="9" t="n"/>
      <c r="C101" s="4" t="n"/>
      <c r="D101" s="9" t="n"/>
      <c r="E101" s="9" t="n"/>
      <c r="F101" s="4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>
      <c r="A102" s="1" t="n"/>
      <c r="B102" s="9" t="n"/>
      <c r="C102" s="4" t="n"/>
      <c r="D102" s="9" t="n"/>
      <c r="E102" s="9" t="n"/>
      <c r="F102" s="4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>
      <c r="A103" s="1" t="n"/>
      <c r="B103" s="9" t="n"/>
      <c r="C103" s="4" t="n"/>
      <c r="D103" s="9" t="n"/>
      <c r="E103" s="9" t="n"/>
      <c r="F103" s="4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>
      <c r="A104" s="1" t="n"/>
      <c r="B104" s="9" t="n"/>
      <c r="C104" s="4" t="n"/>
      <c r="D104" s="9" t="n"/>
      <c r="E104" s="9" t="n"/>
      <c r="F104" s="4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>
      <c r="A105" s="1" t="n"/>
      <c r="B105" s="9" t="n"/>
      <c r="C105" s="4" t="n"/>
      <c r="D105" s="9" t="n"/>
      <c r="E105" s="9" t="n"/>
      <c r="F105" s="4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>
      <c r="A106" s="1" t="n"/>
      <c r="B106" s="9" t="n"/>
      <c r="C106" s="4" t="n"/>
      <c r="D106" s="9" t="n"/>
      <c r="E106" s="9" t="n"/>
      <c r="F106" s="4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>
      <c r="A107" s="1" t="n"/>
      <c r="B107" s="9" t="n"/>
      <c r="C107" s="4" t="n"/>
      <c r="D107" s="9" t="n"/>
      <c r="E107" s="9" t="n"/>
      <c r="F107" s="4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>
      <c r="A108" s="1" t="n"/>
      <c r="B108" s="9" t="n"/>
      <c r="C108" s="4" t="n"/>
      <c r="D108" s="9" t="n"/>
      <c r="E108" s="9" t="n"/>
      <c r="F108" s="4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>
      <c r="A109" s="1" t="n"/>
      <c r="B109" s="9" t="n"/>
      <c r="C109" s="4" t="n"/>
      <c r="D109" s="9" t="n"/>
      <c r="E109" s="9" t="n"/>
      <c r="F109" s="4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>
      <c r="A110" s="1" t="n"/>
      <c r="B110" s="9" t="n"/>
      <c r="C110" s="4" t="n"/>
      <c r="D110" s="9" t="n"/>
      <c r="E110" s="9" t="n"/>
      <c r="F110" s="4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>
      <c r="A111" s="1" t="n"/>
      <c r="B111" s="9" t="n"/>
      <c r="C111" s="4" t="n"/>
      <c r="D111" s="9" t="n"/>
      <c r="E111" s="9" t="n"/>
      <c r="F111" s="4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>
      <c r="A112" s="1" t="n"/>
      <c r="B112" s="9" t="n"/>
      <c r="C112" s="4" t="n"/>
      <c r="D112" s="9" t="n"/>
      <c r="E112" s="9" t="n"/>
      <c r="F112" s="4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>
      <c r="A113" s="1" t="n"/>
      <c r="B113" s="9" t="n"/>
      <c r="C113" s="4" t="n"/>
      <c r="D113" s="9" t="n"/>
      <c r="E113" s="9" t="n"/>
      <c r="F113" s="4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>
      <c r="A114" s="1" t="n"/>
      <c r="B114" s="9" t="n"/>
      <c r="C114" s="4" t="n"/>
      <c r="D114" s="9" t="n"/>
      <c r="E114" s="9" t="n"/>
      <c r="F114" s="4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>
      <c r="A115" s="1" t="n"/>
      <c r="B115" s="9" t="n"/>
      <c r="C115" s="4" t="n"/>
      <c r="D115" s="9" t="n"/>
      <c r="E115" s="9" t="n"/>
      <c r="F115" s="4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>
      <c r="A116" s="1" t="n"/>
      <c r="B116" s="9" t="n"/>
      <c r="C116" s="4" t="n"/>
      <c r="D116" s="9" t="n"/>
      <c r="E116" s="9" t="n"/>
      <c r="F116" s="4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>
      <c r="A117" s="1" t="n"/>
      <c r="B117" s="9" t="n"/>
      <c r="C117" s="4" t="n"/>
      <c r="D117" s="9" t="n"/>
      <c r="E117" s="9" t="n"/>
      <c r="F117" s="4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>
      <c r="A118" s="1" t="n"/>
      <c r="B118" s="9" t="n"/>
      <c r="C118" s="4" t="n"/>
      <c r="D118" s="9" t="n"/>
      <c r="E118" s="9" t="n"/>
      <c r="F118" s="4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>
      <c r="A119" s="1" t="n"/>
      <c r="B119" s="9" t="n"/>
      <c r="C119" s="4" t="n"/>
      <c r="D119" s="9" t="n"/>
      <c r="E119" s="9" t="n"/>
      <c r="F119" s="4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>
      <c r="A120" s="1" t="n"/>
      <c r="B120" s="9" t="n"/>
      <c r="C120" s="4" t="n"/>
      <c r="D120" s="9" t="n"/>
      <c r="E120" s="9" t="n"/>
      <c r="F120" s="4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>
      <c r="A121" s="1" t="n"/>
      <c r="B121" s="9" t="n"/>
      <c r="C121" s="4" t="n"/>
      <c r="D121" s="9" t="n"/>
      <c r="E121" s="9" t="n"/>
      <c r="F121" s="4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>
      <c r="A122" s="1" t="n"/>
      <c r="B122" s="9" t="n"/>
      <c r="C122" s="4" t="n"/>
      <c r="D122" s="9" t="n"/>
      <c r="E122" s="9" t="n"/>
      <c r="F122" s="4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>
      <c r="A123" s="1" t="n"/>
      <c r="B123" s="9" t="n"/>
      <c r="C123" s="4" t="n"/>
      <c r="D123" s="9" t="n"/>
      <c r="E123" s="9" t="n"/>
      <c r="F123" s="4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>
      <c r="A124" s="1" t="n"/>
      <c r="B124" s="9" t="n"/>
      <c r="C124" s="4" t="n"/>
      <c r="D124" s="9" t="n"/>
      <c r="E124" s="9" t="n"/>
      <c r="F124" s="4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>
      <c r="A125" s="1" t="n"/>
      <c r="B125" s="9" t="n"/>
      <c r="C125" s="4" t="n"/>
      <c r="D125" s="9" t="n"/>
      <c r="E125" s="9" t="n"/>
      <c r="F125" s="4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>
      <c r="A126" s="1" t="n"/>
      <c r="B126" s="9" t="n"/>
      <c r="C126" s="4" t="n"/>
      <c r="D126" s="9" t="n"/>
      <c r="E126" s="9" t="n"/>
      <c r="F126" s="4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>
      <c r="A127" s="1" t="n"/>
      <c r="B127" s="9" t="n"/>
      <c r="C127" s="4" t="n"/>
      <c r="D127" s="9" t="n"/>
      <c r="E127" s="9" t="n"/>
      <c r="F127" s="4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>
      <c r="A128" s="1" t="n"/>
      <c r="B128" s="9" t="n"/>
      <c r="C128" s="4" t="n"/>
      <c r="D128" s="9" t="n"/>
      <c r="E128" s="9" t="n"/>
      <c r="F128" s="4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>
      <c r="A129" s="1" t="n"/>
      <c r="B129" s="9" t="n"/>
      <c r="C129" s="4" t="n"/>
      <c r="D129" s="9" t="n"/>
      <c r="E129" s="9" t="n"/>
      <c r="F129" s="4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>
      <c r="A130" s="1" t="n"/>
      <c r="B130" s="9" t="n"/>
      <c r="C130" s="4" t="n"/>
      <c r="D130" s="9" t="n"/>
      <c r="E130" s="9" t="n"/>
      <c r="F130" s="4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>
      <c r="A131" s="1" t="n"/>
      <c r="B131" s="9" t="n"/>
      <c r="C131" s="4" t="n"/>
      <c r="D131" s="9" t="n"/>
      <c r="E131" s="9" t="n"/>
      <c r="F131" s="4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>
      <c r="A132" s="1" t="n"/>
      <c r="B132" s="9" t="n"/>
      <c r="C132" s="4" t="n"/>
      <c r="D132" s="9" t="n"/>
      <c r="E132" s="9" t="n"/>
      <c r="F132" s="4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>
      <c r="A133" s="1" t="n"/>
      <c r="B133" s="9" t="n"/>
      <c r="C133" s="4" t="n"/>
      <c r="D133" s="9" t="n"/>
      <c r="E133" s="9" t="n"/>
      <c r="F133" s="4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>
      <c r="A134" s="1" t="n"/>
      <c r="B134" s="9" t="n"/>
      <c r="C134" s="4" t="n"/>
      <c r="D134" s="9" t="n"/>
      <c r="E134" s="9" t="n"/>
      <c r="F134" s="4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>
      <c r="A135" s="1" t="n"/>
      <c r="B135" s="9" t="n"/>
      <c r="C135" s="4" t="n"/>
      <c r="D135" s="9" t="n"/>
      <c r="E135" s="9" t="n"/>
      <c r="F135" s="4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>
      <c r="A136" s="1" t="n"/>
      <c r="B136" s="9" t="n"/>
      <c r="C136" s="4" t="n"/>
      <c r="D136" s="9" t="n"/>
      <c r="E136" s="9" t="n"/>
      <c r="F136" s="4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>
      <c r="A137" s="1" t="n"/>
      <c r="B137" s="9" t="n"/>
      <c r="C137" s="4" t="n"/>
      <c r="D137" s="9" t="n"/>
      <c r="E137" s="9" t="n"/>
      <c r="F137" s="4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>
      <c r="A138" s="1" t="n"/>
      <c r="B138" s="9" t="n"/>
      <c r="C138" s="9" t="n"/>
      <c r="D138" s="9" t="n"/>
      <c r="E138" s="9" t="n"/>
      <c r="F138" s="9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B2:F3"/>
  </mergeCells>
  <hyperlinks>
    <hyperlink xmlns:r="http://schemas.openxmlformats.org/officeDocument/2006/relationships" ref="H6" display="Parametros de vida útil" r:id="rId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Z1001"/>
  <sheetViews>
    <sheetView showGridLines="0" workbookViewId="0">
      <selection activeCell="E14" sqref="E14"/>
    </sheetView>
  </sheetViews>
  <sheetFormatPr baseColWidth="10" defaultColWidth="14.453125" defaultRowHeight="15" customHeight="1"/>
  <cols>
    <col width="11.453125" customWidth="1" min="1" max="1"/>
    <col width="22.81640625" customWidth="1" min="2" max="2"/>
    <col width="11.81640625" customWidth="1" min="3" max="3"/>
    <col width="29" customWidth="1" min="4" max="4"/>
    <col width="11.81640625" customWidth="1" min="5" max="5"/>
    <col width="22.81640625" customWidth="1" min="6" max="6"/>
    <col width="11.453125" customWidth="1" min="7" max="7"/>
    <col width="22.81640625" customWidth="1" min="8" max="8"/>
    <col width="11.453125" customWidth="1" min="9" max="9"/>
    <col width="22.81640625" customWidth="1" min="10" max="10"/>
    <col width="11.453125" customWidth="1" min="11" max="11"/>
    <col width="22.81640625" customWidth="1" min="12" max="12"/>
    <col width="11.453125" customWidth="1" min="13" max="13"/>
    <col width="22.81640625" customWidth="1" min="14" max="14"/>
    <col width="11.453125" customWidth="1" min="15" max="26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>
      <c r="A2" s="1" t="n"/>
      <c r="B2" s="235" t="inlineStr">
        <is>
          <t>Porcentaje de prestaciones de ley:</t>
        </is>
      </c>
      <c r="D2" s="236" t="n">
        <v>0.35</v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>
      <c r="A3" s="1" t="n"/>
      <c r="B3" s="272" t="inlineStr">
        <is>
          <t>Todas las cifras en pesos mexicanos (MXN)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0.75" customHeight="1">
      <c r="A4" s="1" t="n"/>
      <c r="B4" s="200" t="inlineStr">
        <is>
          <t>Sueldos (mensual)</t>
        </is>
      </c>
      <c r="C4" s="237" t="n"/>
      <c r="D4" s="202" t="inlineStr">
        <is>
          <t>Costo  Indirecto de Fábrica (mensual)</t>
        </is>
      </c>
      <c r="E4" s="237" t="n"/>
      <c r="F4" s="200" t="inlineStr">
        <is>
          <t>Productos/Servicios</t>
        </is>
      </c>
      <c r="G4" s="238" t="n"/>
      <c r="H4" s="238" t="n"/>
      <c r="I4" s="238" t="n"/>
      <c r="J4" s="238" t="n"/>
      <c r="K4" s="238" t="n"/>
      <c r="L4" s="238" t="n"/>
      <c r="M4" s="238" t="n"/>
      <c r="N4" s="238" t="n"/>
      <c r="O4" s="23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>
      <c r="A5" s="1" t="n"/>
      <c r="B5" s="240" t="n"/>
      <c r="C5" s="241" t="n"/>
      <c r="D5" s="240" t="n"/>
      <c r="E5" s="241" t="n"/>
      <c r="F5" s="242" t="inlineStr">
        <is>
          <t>Sistema Fotovoltaico 4 kWp</t>
        </is>
      </c>
      <c r="G5" s="273" t="n"/>
      <c r="H5" s="242" t="inlineStr">
        <is>
          <t>Calentador Solar 200 L</t>
        </is>
      </c>
      <c r="I5" s="273" t="n"/>
      <c r="J5" s="203" t="inlineStr">
        <is>
          <t>Prod/Servicio 3</t>
        </is>
      </c>
      <c r="K5" s="239" t="n"/>
      <c r="L5" s="203" t="inlineStr">
        <is>
          <t>Prod/Servicio 4</t>
        </is>
      </c>
      <c r="M5" s="239" t="n"/>
      <c r="N5" s="203" t="inlineStr">
        <is>
          <t>Prod/Servicio 5</t>
        </is>
      </c>
      <c r="O5" s="23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>
      <c r="A6" s="1" t="n"/>
      <c r="B6" s="164" t="inlineStr">
        <is>
          <t>Concepto</t>
        </is>
      </c>
      <c r="C6" s="164" t="inlineStr">
        <is>
          <t>Monto</t>
        </is>
      </c>
      <c r="D6" s="164" t="inlineStr">
        <is>
          <t>Concepto</t>
        </is>
      </c>
      <c r="E6" s="164" t="inlineStr">
        <is>
          <t>Monto</t>
        </is>
      </c>
      <c r="F6" s="164" t="inlineStr">
        <is>
          <t>Concepto</t>
        </is>
      </c>
      <c r="G6" s="164" t="inlineStr">
        <is>
          <t>Monto</t>
        </is>
      </c>
      <c r="H6" s="164" t="inlineStr">
        <is>
          <t>Concepto</t>
        </is>
      </c>
      <c r="I6" s="164" t="inlineStr">
        <is>
          <t>Monto</t>
        </is>
      </c>
      <c r="J6" s="164" t="inlineStr">
        <is>
          <t>Concepto</t>
        </is>
      </c>
      <c r="K6" s="164" t="inlineStr">
        <is>
          <t>Monto</t>
        </is>
      </c>
      <c r="L6" s="164" t="inlineStr">
        <is>
          <t>Concepto</t>
        </is>
      </c>
      <c r="M6" s="164" t="inlineStr">
        <is>
          <t>Monto</t>
        </is>
      </c>
      <c r="N6" s="164" t="inlineStr">
        <is>
          <t>Concepto</t>
        </is>
      </c>
      <c r="O6" s="164" t="inlineStr">
        <is>
          <t>Monto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>
      <c r="A7" s="1" t="n"/>
      <c r="B7" s="165" t="inlineStr">
        <is>
          <t>Total</t>
        </is>
      </c>
      <c r="C7" s="166">
        <f>+SUM(C9:C52)+C8</f>
        <v/>
      </c>
      <c r="D7" s="165" t="inlineStr">
        <is>
          <t>Total</t>
        </is>
      </c>
      <c r="E7" s="166">
        <f>+SUM(E9:E52)+E8</f>
        <v/>
      </c>
      <c r="F7" s="181" t="inlineStr">
        <is>
          <t>Total</t>
        </is>
      </c>
      <c r="G7" s="182">
        <f>+SUM(G8:G52)</f>
        <v/>
      </c>
      <c r="H7" s="181" t="inlineStr">
        <is>
          <t>Total</t>
        </is>
      </c>
      <c r="I7" s="182">
        <f>+SUM(I8:I52)</f>
        <v/>
      </c>
      <c r="J7" s="181" t="inlineStr">
        <is>
          <t>Total</t>
        </is>
      </c>
      <c r="K7" s="182">
        <f>+SUM(K8:K52)</f>
        <v/>
      </c>
      <c r="L7" s="181" t="inlineStr">
        <is>
          <t>Total</t>
        </is>
      </c>
      <c r="M7" s="182">
        <f>+SUM(M8:M52)</f>
        <v/>
      </c>
      <c r="N7" s="181" t="inlineStr">
        <is>
          <t>Total</t>
        </is>
      </c>
      <c r="O7" s="182">
        <f>+SUM(O8:O52)</f>
        <v/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>
      <c r="A8" s="1" t="n"/>
      <c r="B8" s="183" t="inlineStr">
        <is>
          <t>Prestaciones de ley</t>
        </is>
      </c>
      <c r="C8" s="274">
        <f>+SUM(C9:C52)*$D$2</f>
        <v/>
      </c>
      <c r="D8" s="183" t="inlineStr">
        <is>
          <t>Depreciación/amortización</t>
        </is>
      </c>
      <c r="E8" s="274">
        <f>+CAPEX!F5</f>
        <v/>
      </c>
      <c r="F8" s="232" t="inlineStr">
        <is>
          <t>Paneles solares 8×550 W bifaciales</t>
        </is>
      </c>
      <c r="G8" s="271" t="n">
        <v>28000</v>
      </c>
      <c r="H8" s="232" t="inlineStr">
        <is>
          <t>Termotanque tubos al vacío 200 L</t>
        </is>
      </c>
      <c r="I8" s="271" t="n">
        <v>5200</v>
      </c>
      <c r="J8" s="162" t="n"/>
      <c r="K8" s="163" t="n"/>
      <c r="L8" s="162" t="n"/>
      <c r="M8" s="163" t="n"/>
      <c r="N8" s="162" t="n"/>
      <c r="O8" s="163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>
      <c r="A9" s="1" t="n"/>
      <c r="B9" s="232" t="inlineStr">
        <is>
          <t>Director General (CEO)</t>
        </is>
      </c>
      <c r="C9" s="271" t="n">
        <v>35000</v>
      </c>
      <c r="D9" s="232" t="inlineStr">
        <is>
          <t>Renta de oficina</t>
        </is>
      </c>
      <c r="E9" s="271" t="n">
        <v>12000</v>
      </c>
      <c r="F9" s="232" t="inlineStr">
        <is>
          <t>Inversor string 5 kW</t>
        </is>
      </c>
      <c r="G9" s="271" t="n">
        <v>16000</v>
      </c>
      <c r="H9" s="232" t="inlineStr">
        <is>
          <t>Estructura y soportería</t>
        </is>
      </c>
      <c r="I9" s="271" t="n">
        <v>900</v>
      </c>
      <c r="J9" s="9" t="n"/>
      <c r="K9" s="4" t="n"/>
      <c r="L9" s="9" t="n"/>
      <c r="M9" s="4" t="n"/>
      <c r="N9" s="9" t="n"/>
      <c r="O9" s="4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>
      <c r="A10" s="1" t="n"/>
      <c r="B10" s="232" t="inlineStr">
        <is>
          <t>Líder Comercial / Ventas</t>
        </is>
      </c>
      <c r="C10" s="271" t="n">
        <v>22000</v>
      </c>
      <c r="D10" s="232" t="inlineStr">
        <is>
          <t>Renta de bodega/almacén</t>
        </is>
      </c>
      <c r="E10" s="271" t="n">
        <v>8000</v>
      </c>
      <c r="F10" s="232" t="inlineStr">
        <is>
          <t>Estructura de montaje y rieles</t>
        </is>
      </c>
      <c r="G10" s="271" t="n">
        <v>8500</v>
      </c>
      <c r="H10" s="232" t="inlineStr">
        <is>
          <t>Tubería, conexiones y aislante térmico</t>
        </is>
      </c>
      <c r="I10" s="271" t="n">
        <v>1100</v>
      </c>
      <c r="J10" s="9" t="n"/>
      <c r="K10" s="4" t="n"/>
      <c r="L10" s="9" t="n"/>
      <c r="M10" s="4" t="n"/>
      <c r="N10" s="9" t="n"/>
      <c r="O10" s="4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>
      <c r="A11" s="1" t="n"/>
      <c r="B11" s="232" t="inlineStr">
        <is>
          <t>Ingeniero Solar / Diseño y Operaciones</t>
        </is>
      </c>
      <c r="C11" s="271" t="n">
        <v>25000</v>
      </c>
      <c r="D11" s="232" t="inlineStr">
        <is>
          <t>Energía eléctrica</t>
        </is>
      </c>
      <c r="E11" s="271" t="n">
        <v>2500</v>
      </c>
      <c r="F11" s="232" t="inlineStr">
        <is>
          <t>Cableado, protecciones y tablero</t>
        </is>
      </c>
      <c r="G11" s="271" t="n">
        <v>6500</v>
      </c>
      <c r="H11" s="232" t="inlineStr">
        <is>
          <t>Mano de obra de instalación</t>
        </is>
      </c>
      <c r="I11" s="271" t="n">
        <v>600</v>
      </c>
      <c r="J11" s="9" t="n"/>
      <c r="K11" s="4" t="n"/>
      <c r="L11" s="9" t="n"/>
      <c r="M11" s="4" t="n"/>
      <c r="N11" s="9" t="n"/>
      <c r="O11" s="4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>
      <c r="A12" s="1" t="n"/>
      <c r="B12" s="232" t="inlineStr">
        <is>
          <t>Instalador líder (cuadrilla)</t>
        </is>
      </c>
      <c r="C12" s="271" t="n">
        <v>14000</v>
      </c>
      <c r="D12" s="232" t="inlineStr">
        <is>
          <t>Agua</t>
        </is>
      </c>
      <c r="E12" s="271" t="n">
        <v>600</v>
      </c>
      <c r="F12" s="232" t="inlineStr">
        <is>
          <t>Medidor bidireccional e interconexión</t>
        </is>
      </c>
      <c r="G12" s="271" t="n">
        <v>3500</v>
      </c>
      <c r="H12" s="9" t="n"/>
      <c r="I12" s="4" t="n"/>
      <c r="J12" s="9" t="n"/>
      <c r="K12" s="4" t="n"/>
      <c r="L12" s="9" t="n"/>
      <c r="M12" s="4" t="n"/>
      <c r="N12" s="9" t="n"/>
      <c r="O12" s="4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>
      <c r="A13" s="1" t="n"/>
      <c r="B13" s="232" t="inlineStr">
        <is>
          <t>Ayudante de instalación</t>
        </is>
      </c>
      <c r="C13" s="271" t="n">
        <v>9000</v>
      </c>
      <c r="D13" s="232" t="inlineStr">
        <is>
          <t>Internet y telefonía</t>
        </is>
      </c>
      <c r="E13" s="271" t="n">
        <v>2500</v>
      </c>
      <c r="F13" s="232" t="inlineStr">
        <is>
          <t>Mano de obra de instalación</t>
        </is>
      </c>
      <c r="G13" s="271" t="n">
        <v>7000</v>
      </c>
      <c r="H13" s="9" t="n"/>
      <c r="I13" s="4" t="n"/>
      <c r="J13" s="9" t="n"/>
      <c r="K13" s="4" t="n"/>
      <c r="L13" s="9" t="n"/>
      <c r="M13" s="4" t="n"/>
      <c r="N13" s="9" t="n"/>
      <c r="O13" s="4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>
      <c r="A14" s="1" t="n"/>
      <c r="B14" s="232" t="inlineStr">
        <is>
          <t>Analista Financiero / Administración</t>
        </is>
      </c>
      <c r="C14" s="271" t="n">
        <v>16000</v>
      </c>
      <c r="D14" s="232" t="inlineStr">
        <is>
          <t>Software CRM (HubSpot/Pipedrive)</t>
        </is>
      </c>
      <c r="E14" s="271" t="n">
        <v>2800</v>
      </c>
      <c r="F14" s="232" t="inlineStr">
        <is>
          <t>Trámites CFE / gestoría</t>
        </is>
      </c>
      <c r="G14" s="271" t="n">
        <v>2500</v>
      </c>
      <c r="H14" s="9" t="n"/>
      <c r="I14" s="4" t="n"/>
      <c r="J14" s="9" t="n"/>
      <c r="K14" s="4" t="n"/>
      <c r="L14" s="9" t="n"/>
      <c r="M14" s="4" t="n"/>
      <c r="N14" s="9" t="n"/>
      <c r="O14" s="4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>
      <c r="A15" s="1" t="n"/>
      <c r="B15" s="232" t="inlineStr">
        <is>
          <t>Growth / Marketing</t>
        </is>
      </c>
      <c r="C15" s="271" t="n">
        <v>18000</v>
      </c>
      <c r="D15" s="232" t="inlineStr">
        <is>
          <t>Software ERP/contabilidad (CONTPAQi)</t>
        </is>
      </c>
      <c r="E15" s="271" t="n">
        <v>1800</v>
      </c>
      <c r="F15" s="232" t="inlineStr">
        <is>
          <t>Flete y maniobras</t>
        </is>
      </c>
      <c r="G15" s="271" t="n">
        <v>2000</v>
      </c>
      <c r="H15" s="9" t="n"/>
      <c r="I15" s="4" t="n"/>
      <c r="J15" s="9" t="n"/>
      <c r="K15" s="4" t="n"/>
      <c r="L15" s="9" t="n"/>
      <c r="M15" s="4" t="n"/>
      <c r="N15" s="9" t="n"/>
      <c r="O15" s="4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>
      <c r="A16" s="1" t="n"/>
      <c r="B16" s="232" t="inlineStr">
        <is>
          <t>Servicio al cliente / Postventa (medio tiempo)</t>
        </is>
      </c>
      <c r="C16" s="271" t="n">
        <v>8000</v>
      </c>
      <c r="D16" s="232" t="inlineStr">
        <is>
          <t>Software monitoreo/IA (cloud + APIs)</t>
        </is>
      </c>
      <c r="E16" s="271" t="n">
        <v>4500</v>
      </c>
      <c r="F16" s="9" t="n"/>
      <c r="G16" s="4" t="n"/>
      <c r="H16" s="9" t="n"/>
      <c r="I16" s="4" t="n"/>
      <c r="J16" s="9" t="n"/>
      <c r="K16" s="4" t="n"/>
      <c r="L16" s="9" t="n"/>
      <c r="M16" s="4" t="n"/>
      <c r="N16" s="9" t="n"/>
      <c r="O16" s="4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>
      <c r="A17" s="1" t="n"/>
      <c r="B17" s="9" t="n"/>
      <c r="C17" s="4" t="n"/>
      <c r="D17" s="232" t="inlineStr">
        <is>
          <t>Combustible (van)</t>
        </is>
      </c>
      <c r="E17" s="271" t="n">
        <v>6000</v>
      </c>
      <c r="F17" s="9" t="n"/>
      <c r="G17" s="4" t="n"/>
      <c r="H17" s="9" t="n"/>
      <c r="I17" s="4" t="n"/>
      <c r="J17" s="9" t="n"/>
      <c r="K17" s="4" t="n"/>
      <c r="L17" s="9" t="n"/>
      <c r="M17" s="4" t="n"/>
      <c r="N17" s="9" t="n"/>
      <c r="O17" s="4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>
      <c r="A18" s="1" t="n"/>
      <c r="B18" s="9" t="n"/>
      <c r="C18" s="9" t="n"/>
      <c r="D18" s="232" t="inlineStr">
        <is>
          <t>Mantenimiento vehicular</t>
        </is>
      </c>
      <c r="E18" s="271" t="n">
        <v>2000</v>
      </c>
      <c r="F18" s="9" t="n"/>
      <c r="G18" s="4" t="n"/>
      <c r="H18" s="9" t="n"/>
      <c r="I18" s="4" t="n"/>
      <c r="J18" s="9" t="n"/>
      <c r="K18" s="4" t="n"/>
      <c r="L18" s="9" t="n"/>
      <c r="M18" s="4" t="n"/>
      <c r="N18" s="9" t="n"/>
      <c r="O18" s="4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>
      <c r="A19" s="1" t="n"/>
      <c r="B19" s="9" t="n"/>
      <c r="C19" s="9" t="n"/>
      <c r="D19" s="232" t="inlineStr">
        <is>
          <t>Casetas y peajes</t>
        </is>
      </c>
      <c r="E19" s="271" t="n">
        <v>1500</v>
      </c>
      <c r="F19" s="9" t="n"/>
      <c r="G19" s="4" t="n"/>
      <c r="H19" s="9" t="n"/>
      <c r="I19" s="4" t="n"/>
      <c r="J19" s="9" t="n"/>
      <c r="K19" s="4" t="n"/>
      <c r="L19" s="9" t="n"/>
      <c r="M19" s="4" t="n"/>
      <c r="N19" s="9" t="n"/>
      <c r="O19" s="4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>
      <c r="A20" s="1" t="n"/>
      <c r="B20" s="9" t="n"/>
      <c r="C20" s="9" t="n"/>
      <c r="D20" s="232" t="inlineStr">
        <is>
          <t>Herramienta menor y consumibles (silicón, tornillería)</t>
        </is>
      </c>
      <c r="E20" s="271" t="n">
        <v>3000</v>
      </c>
      <c r="F20" s="9" t="n"/>
      <c r="G20" s="4" t="n"/>
      <c r="H20" s="9" t="n"/>
      <c r="I20" s="4" t="n"/>
      <c r="J20" s="9" t="n"/>
      <c r="K20" s="4" t="n"/>
      <c r="L20" s="9" t="n"/>
      <c r="M20" s="4" t="n"/>
      <c r="N20" s="9" t="n"/>
      <c r="O20" s="4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>
      <c r="A21" s="1" t="n"/>
      <c r="B21" s="9" t="n"/>
      <c r="C21" s="9" t="n"/>
      <c r="D21" s="232" t="inlineStr">
        <is>
          <t>EPP y uniformes</t>
        </is>
      </c>
      <c r="E21" s="271" t="n">
        <v>1200</v>
      </c>
      <c r="F21" s="9" t="n"/>
      <c r="G21" s="4" t="n"/>
      <c r="H21" s="9" t="n"/>
      <c r="I21" s="4" t="n"/>
      <c r="J21" s="9" t="n"/>
      <c r="K21" s="4" t="n"/>
      <c r="L21" s="9" t="n"/>
      <c r="M21" s="4" t="n"/>
      <c r="N21" s="9" t="n"/>
      <c r="O21" s="4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>
      <c r="A22" s="1" t="n"/>
      <c r="B22" s="9" t="n"/>
      <c r="C22" s="9" t="n"/>
      <c r="D22" s="232" t="inlineStr">
        <is>
          <t>Seguro de responsabilidad civil + equipo</t>
        </is>
      </c>
      <c r="E22" s="271" t="n">
        <v>3500</v>
      </c>
      <c r="F22" s="9" t="n"/>
      <c r="G22" s="4" t="n"/>
      <c r="H22" s="9" t="n"/>
      <c r="I22" s="4" t="n"/>
      <c r="J22" s="9" t="n"/>
      <c r="K22" s="4" t="n"/>
      <c r="L22" s="9" t="n"/>
      <c r="M22" s="4" t="n"/>
      <c r="N22" s="9" t="n"/>
      <c r="O22" s="4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>
      <c r="A23" s="1" t="n"/>
      <c r="B23" s="9" t="n"/>
      <c r="C23" s="4" t="n"/>
      <c r="D23" s="232" t="inlineStr">
        <is>
          <t>Seguro de vehículo</t>
        </is>
      </c>
      <c r="E23" s="271" t="n">
        <v>1800</v>
      </c>
      <c r="F23" s="9" t="n"/>
      <c r="G23" s="4" t="n"/>
      <c r="H23" s="9" t="n"/>
      <c r="I23" s="4" t="n"/>
      <c r="J23" s="9" t="n"/>
      <c r="K23" s="4" t="n"/>
      <c r="L23" s="9" t="n"/>
      <c r="M23" s="4" t="n"/>
      <c r="N23" s="9" t="n"/>
      <c r="O23" s="4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>
      <c r="A24" s="1" t="n"/>
      <c r="B24" s="9" t="n"/>
      <c r="C24" s="4" t="n"/>
      <c r="D24" s="232" t="inlineStr">
        <is>
          <t>Honorarios contables</t>
        </is>
      </c>
      <c r="E24" s="271" t="n">
        <v>4500</v>
      </c>
      <c r="F24" s="9" t="n"/>
      <c r="G24" s="4" t="n"/>
      <c r="H24" s="9" t="n"/>
      <c r="I24" s="4" t="n"/>
      <c r="J24" s="9" t="n"/>
      <c r="K24" s="4" t="n"/>
      <c r="L24" s="9" t="n"/>
      <c r="M24" s="4" t="n"/>
      <c r="N24" s="9" t="n"/>
      <c r="O24" s="4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>
      <c r="A25" s="1" t="n"/>
      <c r="B25" s="9" t="n"/>
      <c r="C25" s="4" t="n"/>
      <c r="D25" s="232" t="inlineStr">
        <is>
          <t>Honorarios legales</t>
        </is>
      </c>
      <c r="E25" s="271" t="n">
        <v>2500</v>
      </c>
      <c r="F25" s="9" t="n"/>
      <c r="G25" s="4" t="n"/>
      <c r="H25" s="9" t="n"/>
      <c r="I25" s="4" t="n"/>
      <c r="J25" s="9" t="n"/>
      <c r="K25" s="4" t="n"/>
      <c r="L25" s="9" t="n"/>
      <c r="M25" s="4" t="n"/>
      <c r="N25" s="9" t="n"/>
      <c r="O25" s="4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>
      <c r="A26" s="1" t="n"/>
      <c r="B26" s="9" t="n"/>
      <c r="C26" s="4" t="n"/>
      <c r="D26" s="232" t="inlineStr">
        <is>
          <t>Papelería y artículos de oficina</t>
        </is>
      </c>
      <c r="E26" s="271" t="n">
        <v>800</v>
      </c>
      <c r="F26" s="9" t="n"/>
      <c r="G26" s="4" t="n"/>
      <c r="H26" s="9" t="n"/>
      <c r="I26" s="4" t="n"/>
      <c r="J26" s="9" t="n"/>
      <c r="K26" s="4" t="n"/>
      <c r="L26" s="9" t="n"/>
      <c r="M26" s="4" t="n"/>
      <c r="N26" s="9" t="n"/>
      <c r="O26" s="4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>
      <c r="A27" s="1" t="n"/>
      <c r="B27" s="9" t="n"/>
      <c r="C27" s="4" t="n"/>
      <c r="D27" s="232" t="inlineStr">
        <is>
          <t>Servicio de limpieza</t>
        </is>
      </c>
      <c r="E27" s="271" t="n">
        <v>1500</v>
      </c>
      <c r="F27" s="9" t="n"/>
      <c r="G27" s="4" t="n"/>
      <c r="H27" s="9" t="n"/>
      <c r="I27" s="4" t="n"/>
      <c r="J27" s="9" t="n"/>
      <c r="K27" s="4" t="n"/>
      <c r="L27" s="9" t="n"/>
      <c r="M27" s="4" t="n"/>
      <c r="N27" s="9" t="n"/>
      <c r="O27" s="4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>
      <c r="A28" s="1" t="n"/>
      <c r="B28" s="9" t="n"/>
      <c r="C28" s="4" t="n"/>
      <c r="D28" s="232" t="inlineStr">
        <is>
          <t>Comisiones bancarias / TPV</t>
        </is>
      </c>
      <c r="E28" s="271" t="n">
        <v>2000</v>
      </c>
      <c r="F28" s="9" t="n"/>
      <c r="G28" s="4" t="n"/>
      <c r="H28" s="9" t="n"/>
      <c r="I28" s="4" t="n"/>
      <c r="J28" s="9" t="n"/>
      <c r="K28" s="4" t="n"/>
      <c r="L28" s="9" t="n"/>
      <c r="M28" s="4" t="n"/>
      <c r="N28" s="9" t="n"/>
      <c r="O28" s="4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>
      <c r="A29" s="1" t="n"/>
      <c r="B29" s="9" t="n"/>
      <c r="C29" s="4" t="n"/>
      <c r="D29" s="232" t="inlineStr">
        <is>
          <t>Capacitación y certificación continua</t>
        </is>
      </c>
      <c r="E29" s="271" t="n">
        <v>2000</v>
      </c>
      <c r="F29" s="9" t="n"/>
      <c r="G29" s="4" t="n"/>
      <c r="H29" s="9" t="n"/>
      <c r="I29" s="4" t="n"/>
      <c r="J29" s="9" t="n"/>
      <c r="K29" s="4" t="n"/>
      <c r="L29" s="9" t="n"/>
      <c r="M29" s="4" t="n"/>
      <c r="N29" s="9" t="n"/>
      <c r="O29" s="4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>
      <c r="A30" s="1" t="n"/>
      <c r="B30" s="9" t="n"/>
      <c r="C30" s="4" t="n"/>
      <c r="D30" s="9" t="n"/>
      <c r="E30" s="4" t="n"/>
      <c r="F30" s="9" t="n"/>
      <c r="G30" s="4" t="n"/>
      <c r="H30" s="9" t="n"/>
      <c r="I30" s="4" t="n"/>
      <c r="J30" s="9" t="n"/>
      <c r="K30" s="4" t="n"/>
      <c r="L30" s="9" t="n"/>
      <c r="M30" s="4" t="n"/>
      <c r="N30" s="9" t="n"/>
      <c r="O30" s="4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>
      <c r="A31" s="1" t="n"/>
      <c r="B31" s="9" t="n"/>
      <c r="C31" s="4" t="n"/>
      <c r="D31" s="9" t="n"/>
      <c r="E31" s="4" t="n"/>
      <c r="F31" s="9" t="n"/>
      <c r="G31" s="4" t="n"/>
      <c r="H31" s="9" t="n"/>
      <c r="I31" s="4" t="n"/>
      <c r="J31" s="9" t="n"/>
      <c r="K31" s="4" t="n"/>
      <c r="L31" s="9" t="n"/>
      <c r="M31" s="4" t="n"/>
      <c r="N31" s="9" t="n"/>
      <c r="O31" s="4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>
      <c r="A32" s="1" t="n"/>
      <c r="B32" s="9" t="n"/>
      <c r="C32" s="4" t="n"/>
      <c r="D32" s="9" t="n"/>
      <c r="E32" s="4" t="n"/>
      <c r="F32" s="9" t="n"/>
      <c r="G32" s="4" t="n"/>
      <c r="H32" s="9" t="n"/>
      <c r="I32" s="4" t="n"/>
      <c r="J32" s="9" t="n"/>
      <c r="K32" s="4" t="n"/>
      <c r="L32" s="9" t="n"/>
      <c r="M32" s="4" t="n"/>
      <c r="N32" s="9" t="n"/>
      <c r="O32" s="4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>
      <c r="A33" s="1" t="n"/>
      <c r="B33" s="9" t="n"/>
      <c r="C33" s="4" t="n"/>
      <c r="D33" s="9" t="n"/>
      <c r="E33" s="4" t="n"/>
      <c r="F33" s="9" t="n"/>
      <c r="G33" s="4" t="n"/>
      <c r="H33" s="9" t="n"/>
      <c r="I33" s="4" t="n"/>
      <c r="J33" s="9" t="n"/>
      <c r="K33" s="4" t="n"/>
      <c r="L33" s="9" t="n"/>
      <c r="M33" s="4" t="n"/>
      <c r="N33" s="9" t="n"/>
      <c r="O33" s="4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>
      <c r="A34" s="1" t="n"/>
      <c r="B34" s="9" t="n"/>
      <c r="C34" s="4" t="n"/>
      <c r="D34" s="9" t="n"/>
      <c r="E34" s="4" t="n"/>
      <c r="F34" s="9" t="n"/>
      <c r="G34" s="4" t="n"/>
      <c r="H34" s="9" t="n"/>
      <c r="I34" s="4" t="n"/>
      <c r="J34" s="9" t="n"/>
      <c r="K34" s="4" t="n"/>
      <c r="L34" s="9" t="n"/>
      <c r="M34" s="4" t="n"/>
      <c r="N34" s="9" t="n"/>
      <c r="O34" s="4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>
      <c r="A35" s="1" t="n"/>
      <c r="B35" s="9" t="n"/>
      <c r="C35" s="4" t="n"/>
      <c r="D35" s="9" t="n"/>
      <c r="E35" s="4" t="n"/>
      <c r="F35" s="9" t="n"/>
      <c r="G35" s="4" t="n"/>
      <c r="H35" s="9" t="n"/>
      <c r="I35" s="4" t="n"/>
      <c r="J35" s="9" t="n"/>
      <c r="K35" s="4" t="n"/>
      <c r="L35" s="9" t="n"/>
      <c r="M35" s="4" t="n"/>
      <c r="N35" s="9" t="n"/>
      <c r="O35" s="4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>
      <c r="A36" s="1" t="n"/>
      <c r="B36" s="9" t="n"/>
      <c r="C36" s="4" t="n"/>
      <c r="D36" s="9" t="n"/>
      <c r="E36" s="4" t="n"/>
      <c r="F36" s="9" t="n"/>
      <c r="G36" s="4" t="n"/>
      <c r="H36" s="9" t="n"/>
      <c r="I36" s="4" t="n"/>
      <c r="J36" s="9" t="n"/>
      <c r="K36" s="4" t="n"/>
      <c r="L36" s="9" t="n"/>
      <c r="M36" s="4" t="n"/>
      <c r="N36" s="9" t="n"/>
      <c r="O36" s="4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>
      <c r="A37" s="1" t="n"/>
      <c r="B37" s="9" t="n"/>
      <c r="C37" s="4" t="n"/>
      <c r="D37" s="9" t="n"/>
      <c r="E37" s="4" t="n"/>
      <c r="F37" s="9" t="n"/>
      <c r="G37" s="4" t="n"/>
      <c r="H37" s="9" t="n"/>
      <c r="I37" s="4" t="n"/>
      <c r="J37" s="9" t="n"/>
      <c r="K37" s="4" t="n"/>
      <c r="L37" s="9" t="n"/>
      <c r="M37" s="4" t="n"/>
      <c r="N37" s="9" t="n"/>
      <c r="O37" s="4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>
      <c r="A38" s="1" t="n"/>
      <c r="B38" s="9" t="n"/>
      <c r="C38" s="4" t="n"/>
      <c r="D38" s="9" t="n"/>
      <c r="E38" s="4" t="n"/>
      <c r="F38" s="9" t="n"/>
      <c r="G38" s="4" t="n"/>
      <c r="H38" s="9" t="n"/>
      <c r="I38" s="4" t="n"/>
      <c r="J38" s="9" t="n"/>
      <c r="K38" s="4" t="n"/>
      <c r="L38" s="9" t="n"/>
      <c r="M38" s="4" t="n"/>
      <c r="N38" s="9" t="n"/>
      <c r="O38" s="4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>
      <c r="A39" s="1" t="n"/>
      <c r="B39" s="9" t="n"/>
      <c r="C39" s="4" t="n"/>
      <c r="D39" s="9" t="n"/>
      <c r="E39" s="4" t="n"/>
      <c r="F39" s="9" t="n"/>
      <c r="G39" s="4" t="n"/>
      <c r="H39" s="9" t="n"/>
      <c r="I39" s="4" t="n"/>
      <c r="J39" s="9" t="n"/>
      <c r="K39" s="4" t="n"/>
      <c r="L39" s="9" t="n"/>
      <c r="M39" s="4" t="n"/>
      <c r="N39" s="9" t="n"/>
      <c r="O39" s="4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>
      <c r="A40" s="1" t="n"/>
      <c r="B40" s="9" t="n"/>
      <c r="C40" s="4" t="n"/>
      <c r="D40" s="9" t="n"/>
      <c r="E40" s="4" t="n"/>
      <c r="F40" s="9" t="n"/>
      <c r="G40" s="4" t="n"/>
      <c r="H40" s="9" t="n"/>
      <c r="I40" s="4" t="n"/>
      <c r="J40" s="9" t="n"/>
      <c r="K40" s="4" t="n"/>
      <c r="L40" s="9" t="n"/>
      <c r="M40" s="4" t="n"/>
      <c r="N40" s="9" t="n"/>
      <c r="O40" s="4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>
      <c r="A41" s="1" t="n"/>
      <c r="B41" s="9" t="n"/>
      <c r="C41" s="4" t="n"/>
      <c r="D41" s="9" t="n"/>
      <c r="E41" s="4" t="n"/>
      <c r="F41" s="9" t="n"/>
      <c r="G41" s="4" t="n"/>
      <c r="H41" s="9" t="n"/>
      <c r="I41" s="4" t="n"/>
      <c r="J41" s="9" t="n"/>
      <c r="K41" s="4" t="n"/>
      <c r="L41" s="9" t="n"/>
      <c r="M41" s="4" t="n"/>
      <c r="N41" s="9" t="n"/>
      <c r="O41" s="4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>
      <c r="A42" s="1" t="n"/>
      <c r="B42" s="9" t="n"/>
      <c r="C42" s="4" t="n"/>
      <c r="D42" s="9" t="n"/>
      <c r="E42" s="4" t="n"/>
      <c r="F42" s="9" t="n"/>
      <c r="G42" s="4" t="n"/>
      <c r="H42" s="9" t="n"/>
      <c r="I42" s="4" t="n"/>
      <c r="J42" s="9" t="n"/>
      <c r="K42" s="4" t="n"/>
      <c r="L42" s="9" t="n"/>
      <c r="M42" s="4" t="n"/>
      <c r="N42" s="9" t="n"/>
      <c r="O42" s="4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>
      <c r="A43" s="1" t="n"/>
      <c r="B43" s="9" t="n"/>
      <c r="C43" s="4" t="n"/>
      <c r="D43" s="9" t="n"/>
      <c r="E43" s="4" t="n"/>
      <c r="F43" s="9" t="n"/>
      <c r="G43" s="4" t="n"/>
      <c r="H43" s="9" t="n"/>
      <c r="I43" s="4" t="n"/>
      <c r="J43" s="9" t="n"/>
      <c r="K43" s="4" t="n"/>
      <c r="L43" s="9" t="n"/>
      <c r="M43" s="4" t="n"/>
      <c r="N43" s="9" t="n"/>
      <c r="O43" s="4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>
      <c r="A44" s="1" t="n"/>
      <c r="B44" s="9" t="n"/>
      <c r="C44" s="4" t="n"/>
      <c r="D44" s="9" t="n"/>
      <c r="E44" s="4" t="n"/>
      <c r="F44" s="9" t="n"/>
      <c r="G44" s="4" t="n"/>
      <c r="H44" s="9" t="n"/>
      <c r="I44" s="4" t="n"/>
      <c r="J44" s="9" t="n"/>
      <c r="K44" s="4" t="n"/>
      <c r="L44" s="9" t="n"/>
      <c r="M44" s="4" t="n"/>
      <c r="N44" s="9" t="n"/>
      <c r="O44" s="4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>
      <c r="A45" s="1" t="n"/>
      <c r="B45" s="9" t="n"/>
      <c r="C45" s="4" t="n"/>
      <c r="D45" s="9" t="n"/>
      <c r="E45" s="4" t="n"/>
      <c r="F45" s="9" t="n"/>
      <c r="G45" s="4" t="n"/>
      <c r="H45" s="9" t="n"/>
      <c r="I45" s="4" t="n"/>
      <c r="J45" s="9" t="n"/>
      <c r="K45" s="4" t="n"/>
      <c r="L45" s="9" t="n"/>
      <c r="M45" s="4" t="n"/>
      <c r="N45" s="9" t="n"/>
      <c r="O45" s="4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>
      <c r="A46" s="1" t="n"/>
      <c r="B46" s="9" t="n"/>
      <c r="C46" s="4" t="n"/>
      <c r="D46" s="9" t="n"/>
      <c r="E46" s="4" t="n"/>
      <c r="F46" s="9" t="n"/>
      <c r="G46" s="4" t="n"/>
      <c r="H46" s="9" t="n"/>
      <c r="I46" s="4" t="n"/>
      <c r="J46" s="9" t="n"/>
      <c r="K46" s="4" t="n"/>
      <c r="L46" s="9" t="n"/>
      <c r="M46" s="4" t="n"/>
      <c r="N46" s="9" t="n"/>
      <c r="O46" s="4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>
      <c r="A47" s="1" t="n"/>
      <c r="B47" s="9" t="n"/>
      <c r="C47" s="4" t="n"/>
      <c r="D47" s="9" t="n"/>
      <c r="E47" s="4" t="n"/>
      <c r="F47" s="9" t="n"/>
      <c r="G47" s="4" t="n"/>
      <c r="H47" s="9" t="n"/>
      <c r="I47" s="4" t="n"/>
      <c r="J47" s="9" t="n"/>
      <c r="K47" s="4" t="n"/>
      <c r="L47" s="9" t="n"/>
      <c r="M47" s="4" t="n"/>
      <c r="N47" s="9" t="n"/>
      <c r="O47" s="4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>
      <c r="A48" s="1" t="n"/>
      <c r="B48" s="9" t="n"/>
      <c r="C48" s="4" t="n"/>
      <c r="D48" s="9" t="n"/>
      <c r="E48" s="4" t="n"/>
      <c r="F48" s="9" t="n"/>
      <c r="G48" s="4" t="n"/>
      <c r="H48" s="9" t="n"/>
      <c r="I48" s="4" t="n"/>
      <c r="J48" s="9" t="n"/>
      <c r="K48" s="4" t="n"/>
      <c r="L48" s="9" t="n"/>
      <c r="M48" s="4" t="n"/>
      <c r="N48" s="9" t="n"/>
      <c r="O48" s="4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>
      <c r="A49" s="1" t="n"/>
      <c r="B49" s="9" t="n"/>
      <c r="C49" s="4" t="n"/>
      <c r="D49" s="9" t="n"/>
      <c r="E49" s="4" t="n"/>
      <c r="F49" s="9" t="n"/>
      <c r="G49" s="4" t="n"/>
      <c r="H49" s="9" t="n"/>
      <c r="I49" s="4" t="n"/>
      <c r="J49" s="9" t="n"/>
      <c r="K49" s="4" t="n"/>
      <c r="L49" s="9" t="n"/>
      <c r="M49" s="4" t="n"/>
      <c r="N49" s="9" t="n"/>
      <c r="O49" s="4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>
      <c r="A50" s="1" t="n"/>
      <c r="B50" s="9" t="n"/>
      <c r="C50" s="4" t="n"/>
      <c r="D50" s="9" t="n"/>
      <c r="E50" s="4" t="n"/>
      <c r="F50" s="9" t="n"/>
      <c r="G50" s="4" t="n"/>
      <c r="H50" s="9" t="n"/>
      <c r="I50" s="4" t="n"/>
      <c r="J50" s="9" t="n"/>
      <c r="K50" s="4" t="n"/>
      <c r="L50" s="9" t="n"/>
      <c r="M50" s="4" t="n"/>
      <c r="N50" s="9" t="n"/>
      <c r="O50" s="4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>
      <c r="A51" s="1" t="n"/>
      <c r="B51" s="9" t="n"/>
      <c r="C51" s="4" t="n"/>
      <c r="D51" s="9" t="n"/>
      <c r="E51" s="4" t="n"/>
      <c r="F51" s="9" t="n"/>
      <c r="G51" s="4" t="n"/>
      <c r="H51" s="9" t="n"/>
      <c r="I51" s="4" t="n"/>
      <c r="J51" s="9" t="n"/>
      <c r="K51" s="4" t="n"/>
      <c r="L51" s="9" t="n"/>
      <c r="M51" s="4" t="n"/>
      <c r="N51" s="9" t="n"/>
      <c r="O51" s="4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>
      <c r="A52" s="1" t="n"/>
      <c r="B52" s="9" t="n"/>
      <c r="C52" s="4" t="n"/>
      <c r="D52" s="9" t="n"/>
      <c r="E52" s="4" t="n"/>
      <c r="F52" s="9" t="n"/>
      <c r="G52" s="4" t="n"/>
      <c r="H52" s="9" t="n"/>
      <c r="I52" s="4" t="n"/>
      <c r="J52" s="9" t="n"/>
      <c r="K52" s="4" t="n"/>
      <c r="L52" s="9" t="n"/>
      <c r="M52" s="4" t="n"/>
      <c r="N52" s="9" t="n"/>
      <c r="O52" s="4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 ht="14.2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</sheetData>
  <mergeCells count="9">
    <mergeCell ref="B2:C2"/>
    <mergeCell ref="D4:E5"/>
    <mergeCell ref="J5:K5"/>
    <mergeCell ref="F5:G5"/>
    <mergeCell ref="F4:O4"/>
    <mergeCell ref="H5:I5"/>
    <mergeCell ref="L5:M5"/>
    <mergeCell ref="N5:O5"/>
    <mergeCell ref="B4:C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2F5496"/>
    <outlinePr summaryBelow="1" summaryRight="1"/>
    <pageSetUpPr/>
  </sheetPr>
  <dimension ref="A2:S941"/>
  <sheetViews>
    <sheetView showGridLines="0" topLeftCell="A8" zoomScale="130" zoomScaleNormal="130" workbookViewId="0">
      <selection activeCell="A15" sqref="A15:XFD74"/>
    </sheetView>
  </sheetViews>
  <sheetFormatPr baseColWidth="10" defaultColWidth="14.453125" defaultRowHeight="15" customHeight="1"/>
  <cols>
    <col width="11.453125" customWidth="1" min="1" max="1"/>
    <col width="3.7265625" customWidth="1" min="2" max="2"/>
    <col width="39.1796875" customWidth="1" min="3" max="3"/>
    <col width="11.453125" customWidth="1" min="4" max="19"/>
  </cols>
  <sheetData>
    <row r="1" ht="15" customHeight="1" thickBot="1"/>
    <row r="2" ht="30.75" customHeight="1" thickBot="1">
      <c r="A2" s="1" t="n"/>
      <c r="B2" s="243" t="inlineStr">
        <is>
          <t>Costeo basado en actividades</t>
        </is>
      </c>
      <c r="C2" s="168" t="inlineStr">
        <is>
          <t>Costeo basado en actividades (ABC) — cifras en MXN</t>
        </is>
      </c>
      <c r="D2" s="170">
        <f>+OPEX!F5</f>
        <v/>
      </c>
      <c r="E2" s="171">
        <f>+OPEX!H5</f>
        <v/>
      </c>
      <c r="F2" s="170">
        <f>+OPEX!J5</f>
        <v/>
      </c>
      <c r="G2" s="171">
        <f>+OPEX!L5</f>
        <v/>
      </c>
      <c r="H2" s="170">
        <f>+OPEX!N5</f>
        <v/>
      </c>
      <c r="I2" s="169" t="inlineStr">
        <is>
          <t>Costo de actividad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14.25" customHeight="1" thickBot="1">
      <c r="A3" s="1" t="n"/>
      <c r="B3" s="244" t="n"/>
      <c r="C3" s="14" t="inlineStr">
        <is>
          <t>% de asignación</t>
        </is>
      </c>
      <c r="D3" s="245" t="n">
        <v>0.75</v>
      </c>
      <c r="E3" s="245" t="n">
        <v>0.25</v>
      </c>
      <c r="F3" s="15" t="n"/>
      <c r="G3" s="16" t="n"/>
      <c r="H3" s="17" t="n"/>
      <c r="I3" s="18">
        <f>+SUM(D3:H3)</f>
        <v/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14.25" customHeight="1" thickBot="1">
      <c r="A4" s="1" t="n"/>
      <c r="B4" s="244" t="n"/>
      <c r="C4" s="14" t="inlineStr">
        <is>
          <t>Sueldos</t>
        </is>
      </c>
      <c r="D4" s="19">
        <f>+$I$4*D3</f>
        <v/>
      </c>
      <c r="E4" s="19">
        <f>+$I$4*E3</f>
        <v/>
      </c>
      <c r="F4" s="19">
        <f>+$I$4*F3</f>
        <v/>
      </c>
      <c r="G4" s="19">
        <f>+$I$4*G3</f>
        <v/>
      </c>
      <c r="H4" s="19">
        <f>+$I$4*H3</f>
        <v/>
      </c>
      <c r="I4" s="20">
        <f>+OPEX!C7</f>
        <v/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14.25" customHeight="1" thickBot="1">
      <c r="A5" s="1" t="n"/>
      <c r="B5" s="244" t="n"/>
      <c r="C5" s="14" t="inlineStr">
        <is>
          <t>% de asignación CIF</t>
        </is>
      </c>
      <c r="D5" s="245" t="n">
        <v>0.7</v>
      </c>
      <c r="E5" s="245" t="n">
        <v>0.3</v>
      </c>
      <c r="F5" s="17" t="n"/>
      <c r="G5" s="21" t="n"/>
      <c r="H5" s="17" t="n"/>
      <c r="I5" s="22">
        <f>+SUM(D5:H5)</f>
        <v/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 ht="14.25" customHeight="1">
      <c r="A6" s="1" t="n"/>
      <c r="B6" s="244" t="n"/>
      <c r="C6" s="14" t="inlineStr">
        <is>
          <t>Costos indirectos de fábrica</t>
        </is>
      </c>
      <c r="D6" s="23">
        <f>+$I$6*D5</f>
        <v/>
      </c>
      <c r="E6" s="23">
        <f>+$I$6*E5</f>
        <v/>
      </c>
      <c r="F6" s="23">
        <f>+$I$6*F5</f>
        <v/>
      </c>
      <c r="G6" s="23">
        <f>+$I$6*G5</f>
        <v/>
      </c>
      <c r="H6" s="23">
        <f>+$I$6*H5</f>
        <v/>
      </c>
      <c r="I6" s="24">
        <f>+OPEX!E7</f>
        <v/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 ht="14.25" customHeight="1">
      <c r="A7" s="1" t="n"/>
      <c r="B7" s="244" t="n"/>
      <c r="C7" s="14" t="inlineStr">
        <is>
          <t>Total</t>
        </is>
      </c>
      <c r="D7" s="25">
        <f>+D6+D4</f>
        <v/>
      </c>
      <c r="E7" s="25">
        <f>+E6+E4</f>
        <v/>
      </c>
      <c r="F7" s="25">
        <f>+F6+F4</f>
        <v/>
      </c>
      <c r="G7" s="26">
        <f>+G6+G4</f>
        <v/>
      </c>
      <c r="H7" s="25">
        <f>+H6+H4</f>
        <v/>
      </c>
      <c r="I7" s="25">
        <f>+I6+I4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 ht="14.25" customHeight="1">
      <c r="A8" s="1" t="n"/>
      <c r="B8" s="244" t="n"/>
      <c r="C8" s="14" t="inlineStr">
        <is>
          <t>Material directo</t>
        </is>
      </c>
      <c r="D8" s="23">
        <f>+OPEX!G7</f>
        <v/>
      </c>
      <c r="E8" s="27">
        <f>+OPEX!I7</f>
        <v/>
      </c>
      <c r="F8" s="23">
        <f>+OPEX!K7</f>
        <v/>
      </c>
      <c r="G8" s="27">
        <f>+OPEX!M7</f>
        <v/>
      </c>
      <c r="H8" s="23">
        <f>+OPEX!O7</f>
        <v/>
      </c>
      <c r="I8" s="246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 ht="14.25" customHeight="1" thickBot="1">
      <c r="A9" s="1" t="n"/>
      <c r="B9" s="244" t="n"/>
      <c r="C9" s="14" t="inlineStr">
        <is>
          <t>Unidades producidas mensualmente</t>
        </is>
      </c>
      <c r="D9" s="247" t="n">
        <v>17</v>
      </c>
      <c r="E9" s="247" t="n">
        <v>13</v>
      </c>
      <c r="F9" s="248" t="n"/>
      <c r="G9" s="249" t="n"/>
      <c r="H9" s="248" t="n"/>
      <c r="I9" s="244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 ht="14.25" customHeight="1" thickBot="1">
      <c r="A10" s="1" t="n"/>
      <c r="B10" s="244" t="n"/>
      <c r="C10" s="13" t="inlineStr">
        <is>
          <t>Costo unitario</t>
        </is>
      </c>
      <c r="D10" s="275">
        <f>+D8+IF(D9&gt;0,D7/D9,0)</f>
        <v/>
      </c>
      <c r="E10" s="275">
        <f>+E8+IF(E9&gt;0,E7/E9,0)</f>
        <v/>
      </c>
      <c r="F10" s="251" t="n"/>
      <c r="G10" s="251" t="n"/>
      <c r="H10" s="251" t="n"/>
      <c r="I10" s="244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14.25" customHeight="1" thickBot="1">
      <c r="A11" s="1" t="n"/>
      <c r="B11" s="244" t="n"/>
      <c r="C11" s="13" t="inlineStr">
        <is>
          <t>Precio</t>
        </is>
      </c>
      <c r="D11" s="275" t="n">
        <v>112000</v>
      </c>
      <c r="E11" s="275" t="n">
        <v>13500</v>
      </c>
      <c r="F11" s="251" t="n"/>
      <c r="G11" s="251" t="n"/>
      <c r="H11" s="251" t="n"/>
      <c r="I11" s="244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t="14.25" customHeight="1" thickBot="1">
      <c r="A12" s="1" t="n"/>
      <c r="B12" s="244" t="n"/>
      <c r="C12" s="13" t="inlineStr">
        <is>
          <t>Margen</t>
        </is>
      </c>
      <c r="D12" s="276">
        <f>+D11-D10</f>
        <v/>
      </c>
      <c r="E12" s="276">
        <f>+E11-E10</f>
        <v/>
      </c>
      <c r="F12" s="190" t="n"/>
      <c r="G12" s="190" t="n"/>
      <c r="H12" s="190" t="n"/>
      <c r="I12" s="244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4.25" customHeight="1" thickBot="1">
      <c r="A13" s="1" t="n"/>
      <c r="B13" s="254" t="n"/>
      <c r="C13" s="13" t="inlineStr">
        <is>
          <t>Punto de equilibrio</t>
        </is>
      </c>
      <c r="D13" s="255">
        <f>+IF((D11-D8)&gt;0,D7/(D11-D8),0)</f>
        <v/>
      </c>
      <c r="E13" s="255">
        <f>+IF((E11-E8)&gt;0,E7/(E11-E8),0)</f>
        <v/>
      </c>
      <c r="F13" s="256" t="n"/>
      <c r="G13" s="256" t="n"/>
      <c r="H13" s="256" t="n"/>
      <c r="I13" s="254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4.2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4.25" customHeight="1">
      <c r="A15" s="1" t="n"/>
      <c r="B15" s="1" t="inlineStr">
        <is>
          <t>Driver de asignación SUELDOS: horas-esfuerzo (FV: diseño+permisos CFE+instalación mayor)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4.25" customHeight="1">
      <c r="A16" s="1" t="n"/>
      <c r="B16" s="1" t="inlineStr">
        <is>
          <t>Driver de asignación CIF: uso de bodega, transporte y vehículo (FV ocupa más)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14.25" customHeight="1">
      <c r="A17" s="1" t="n"/>
      <c r="B17" s="1" t="inlineStr">
        <is>
          <t>Margen por ABSORCIÓN (incluye overhead). El margen de CONTRIBUCIÓN unitario es: FV 38,000 · Calentador 5,700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4.25" customHeight="1">
      <c r="A18" s="1" t="n"/>
      <c r="B18" s="1" t="inlineStr">
        <is>
          <t>Nota: a volumen mes 24 (FV 35u, Cal 25u) el costo unitario baja a 80,435 / 11,094 y ambos quedan positivos.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4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4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4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4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14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14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14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 ht="14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 ht="14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 ht="14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 ht="14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 ht="14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 ht="14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 ht="14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 ht="14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 ht="14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 ht="14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 ht="14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4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4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4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4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4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4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4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4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4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4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4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4.2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4.2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4.2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4.2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4.2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4.2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4.2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4.2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4.2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4.2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4.2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4.2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4.2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4.2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4.2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4.2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 ht="14.2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 ht="14.2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4.2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4.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 ht="14.2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4.2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 ht="14.2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4.2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4.2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4.2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 ht="14.2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4.2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 ht="14.2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4.2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4.2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 ht="14.2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 ht="14.2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 ht="14.2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 ht="14.2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 ht="14.2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 ht="14.2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 ht="14.2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 ht="14.2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 ht="14.2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 ht="14.2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 ht="14.2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 ht="14.2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 ht="14.2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 ht="14.2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 ht="14.2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 ht="14.2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 ht="14.2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 ht="14.2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 ht="14.2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 ht="14.2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 ht="14.2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 ht="14.2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 ht="14.2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 ht="14.2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 ht="14.2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 ht="14.2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 ht="14.2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 ht="14.2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 ht="14.2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 ht="14.2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 ht="14.2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 ht="14.2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 ht="14.2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 ht="14.2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 ht="14.2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 ht="14.2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 ht="14.2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 ht="14.2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 ht="14.2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 ht="14.2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 ht="14.2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  <row r="121" ht="14.2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 ht="14.2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 ht="14.2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 ht="14.2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 ht="14.2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</row>
    <row r="126" ht="14.2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  <row r="127" ht="14.2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</row>
    <row r="128" ht="14.2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</row>
    <row r="129" ht="14.2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 ht="14.2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</row>
    <row r="131" ht="14.2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</row>
    <row r="132" ht="14.2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</row>
    <row r="133" ht="14.2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</row>
    <row r="134" ht="14.2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</row>
    <row r="135" ht="14.2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</row>
    <row r="136" ht="14.2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</row>
    <row r="137" ht="14.2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</row>
    <row r="138" ht="14.2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 ht="14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</row>
    <row r="140" ht="14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</row>
    <row r="141" ht="14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</row>
    <row r="142" ht="14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</row>
    <row r="143" ht="14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</row>
    <row r="144" ht="14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 ht="14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</row>
    <row r="146" ht="14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</row>
    <row r="147" ht="14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</row>
    <row r="148" ht="14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</row>
    <row r="149" ht="14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</row>
    <row r="150" ht="14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</row>
    <row r="151" ht="14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</row>
    <row r="152" ht="14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</row>
    <row r="153" ht="14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</row>
    <row r="154" ht="14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</row>
    <row r="155" ht="14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</row>
    <row r="156" ht="14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</row>
    <row r="157" ht="14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</row>
    <row r="158" ht="14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</row>
    <row r="159" ht="14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 ht="14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 ht="14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</row>
    <row r="162" ht="14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 ht="14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 ht="14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</row>
    <row r="165" ht="14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 ht="14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 ht="14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 ht="14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 ht="14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 ht="14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 ht="14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 ht="14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 ht="14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 ht="14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</row>
    <row r="175" ht="14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 ht="14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 ht="14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</row>
    <row r="178" ht="14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</row>
    <row r="179" ht="14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</row>
    <row r="181" ht="14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</row>
    <row r="182" ht="14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</row>
    <row r="183" ht="14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 ht="14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 ht="14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 ht="14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 ht="14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</row>
    <row r="188" ht="14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</row>
    <row r="189" ht="14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 ht="14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</row>
    <row r="191" ht="14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</row>
    <row r="192" ht="14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</row>
    <row r="193" ht="14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 ht="14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</row>
    <row r="195" ht="14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</row>
    <row r="196" ht="14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</row>
    <row r="197" ht="14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</row>
    <row r="198" ht="14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</row>
    <row r="199" ht="14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</row>
    <row r="200" ht="14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</row>
    <row r="201" ht="14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</row>
    <row r="202" ht="14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</row>
    <row r="203" ht="14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</row>
    <row r="204" ht="14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</row>
    <row r="205" ht="14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</row>
    <row r="206" ht="14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</row>
    <row r="207" ht="14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</row>
    <row r="208" ht="14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</row>
    <row r="209" ht="14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</row>
    <row r="210" ht="14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</row>
    <row r="211" ht="14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</row>
    <row r="212" ht="14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</row>
    <row r="213" ht="14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</row>
    <row r="214" ht="14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</row>
    <row r="215" ht="14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</row>
    <row r="216" ht="14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</row>
    <row r="217" ht="14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</row>
    <row r="218" ht="14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</row>
    <row r="219" ht="14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</row>
    <row r="220" ht="14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</row>
    <row r="221" ht="14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</row>
    <row r="222" ht="14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</row>
    <row r="223" ht="14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</row>
    <row r="224" ht="14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</row>
    <row r="225" ht="14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</row>
    <row r="226" ht="14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</row>
    <row r="227" ht="14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</row>
    <row r="228" ht="14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</row>
    <row r="229" ht="14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</row>
    <row r="230" ht="14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</row>
    <row r="231" ht="14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</row>
    <row r="232" ht="14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</row>
    <row r="233" ht="14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</row>
    <row r="234" ht="14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</row>
    <row r="235" ht="14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</row>
    <row r="236" ht="14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</row>
    <row r="237" ht="14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</row>
    <row r="238" ht="14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</row>
    <row r="239" ht="14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</row>
    <row r="240" ht="14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</row>
    <row r="241" ht="14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</row>
    <row r="242" ht="14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</row>
    <row r="243" ht="14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</row>
    <row r="244" ht="14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</row>
    <row r="245" ht="14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</row>
    <row r="246" ht="14.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</row>
    <row r="247" ht="14.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</row>
    <row r="248" ht="14.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</row>
    <row r="249" ht="14.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</row>
    <row r="250" ht="14.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</row>
    <row r="251" ht="14.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</row>
    <row r="252" ht="14.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</row>
    <row r="253" ht="14.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</row>
    <row r="254" ht="14.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</row>
    <row r="255" ht="14.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</row>
    <row r="256" ht="14.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</row>
    <row r="257" ht="14.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</row>
    <row r="258" ht="14.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</row>
    <row r="259" ht="14.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</row>
    <row r="260" ht="14.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</row>
    <row r="261" ht="14.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</row>
    <row r="262" ht="14.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</row>
    <row r="263" ht="14.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</row>
    <row r="264" ht="14.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</row>
    <row r="265" ht="14.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</row>
    <row r="266" ht="14.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</row>
    <row r="267" ht="14.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</row>
    <row r="268" ht="14.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</row>
    <row r="269" ht="14.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</row>
    <row r="270" ht="14.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</row>
    <row r="271" ht="14.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</row>
    <row r="272" ht="14.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</row>
    <row r="273" ht="14.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</row>
    <row r="274" ht="14.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</row>
    <row r="275" ht="14.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</row>
    <row r="276" ht="14.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</row>
    <row r="277" ht="14.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</row>
    <row r="278" ht="14.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</row>
    <row r="279" ht="14.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</row>
    <row r="280" ht="14.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</row>
    <row r="281" ht="14.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</row>
    <row r="282" ht="14.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</row>
    <row r="283" ht="14.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</row>
    <row r="284" ht="14.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</row>
    <row r="285" ht="14.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</row>
    <row r="286" ht="14.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</row>
    <row r="287" ht="14.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</row>
    <row r="288" ht="14.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</row>
    <row r="289" ht="14.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</row>
    <row r="290" ht="14.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</row>
    <row r="291" ht="14.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</row>
    <row r="292" ht="14.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</row>
    <row r="293" ht="14.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</row>
    <row r="294" ht="14.2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</row>
    <row r="295" ht="14.2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</row>
    <row r="296" ht="14.2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</row>
    <row r="297" ht="14.2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</row>
    <row r="298" ht="14.2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</row>
    <row r="299" ht="14.2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</row>
    <row r="300" ht="14.2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</row>
    <row r="301" ht="14.2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</row>
    <row r="302" ht="14.2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</row>
    <row r="303" ht="14.2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</row>
    <row r="304" ht="14.2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</row>
    <row r="305" ht="14.2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</row>
    <row r="306" ht="14.2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</row>
    <row r="307" ht="14.2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</row>
    <row r="308" ht="14.2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</row>
    <row r="309" ht="14.2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</row>
    <row r="310" ht="14.2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</row>
    <row r="311" ht="14.2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</row>
    <row r="312" ht="14.2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</row>
    <row r="313" ht="14.2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</row>
    <row r="314" ht="14.2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</row>
    <row r="315" ht="14.2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</row>
    <row r="316" ht="14.2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</row>
    <row r="317" ht="14.2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</row>
    <row r="318" ht="14.2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</row>
    <row r="319" ht="14.2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</row>
    <row r="320" ht="14.2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</row>
    <row r="321" ht="14.2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</row>
    <row r="322" ht="14.2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</row>
    <row r="323" ht="14.2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</row>
    <row r="324" ht="14.2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</row>
    <row r="325" ht="14.2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</row>
    <row r="326" ht="14.2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</row>
    <row r="327" ht="14.2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</row>
    <row r="328" ht="14.2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</row>
    <row r="329" ht="14.2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</row>
    <row r="330" ht="14.2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</row>
    <row r="331" ht="14.2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</row>
    <row r="332" ht="14.2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</row>
    <row r="333" ht="14.2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</row>
    <row r="334" ht="14.2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</row>
    <row r="335" ht="14.2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</row>
    <row r="336" ht="14.2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</row>
    <row r="337" ht="14.2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</row>
    <row r="338" ht="14.2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</row>
    <row r="339" ht="14.2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</row>
    <row r="340" ht="14.2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</row>
    <row r="341" ht="14.2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</row>
    <row r="342" ht="14.2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</row>
    <row r="343" ht="14.2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</row>
    <row r="344" ht="14.2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</row>
    <row r="345" ht="14.2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</row>
    <row r="346" ht="14.2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</row>
    <row r="347" ht="14.2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</row>
    <row r="348" ht="14.2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</row>
    <row r="349" ht="14.2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</row>
    <row r="350" ht="14.2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</row>
    <row r="351" ht="14.2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</row>
    <row r="352" ht="14.2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</row>
    <row r="353" ht="14.2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</row>
    <row r="354" ht="14.2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</row>
    <row r="355" ht="14.2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</row>
    <row r="356" ht="14.2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</row>
    <row r="357" ht="14.2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</row>
    <row r="358" ht="14.2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</row>
    <row r="359" ht="14.2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</row>
    <row r="360" ht="14.2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</row>
    <row r="361" ht="14.2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</row>
    <row r="362" ht="14.2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</row>
    <row r="363" ht="14.2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</row>
    <row r="364" ht="14.2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</row>
    <row r="365" ht="14.2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</row>
    <row r="366" ht="14.2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</row>
    <row r="367" ht="14.2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</row>
    <row r="368" ht="14.2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</row>
    <row r="369" ht="14.2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</row>
    <row r="370" ht="14.2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</row>
    <row r="371" ht="14.2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</row>
    <row r="372" ht="14.2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</row>
    <row r="373" ht="14.2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</row>
    <row r="374" ht="14.2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</row>
    <row r="375" ht="14.2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</row>
    <row r="376" ht="14.2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</row>
    <row r="377" ht="14.2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</row>
    <row r="378" ht="14.2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</row>
    <row r="379" ht="14.2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</row>
    <row r="380" ht="14.2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</row>
    <row r="381" ht="14.2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</row>
    <row r="382" ht="14.2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</row>
    <row r="383" ht="14.2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</row>
    <row r="384" ht="14.2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</row>
    <row r="385" ht="14.2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</row>
    <row r="386" ht="14.2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</row>
    <row r="387" ht="14.2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</row>
    <row r="388" ht="14.2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</row>
    <row r="389" ht="14.2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</row>
    <row r="390" ht="14.2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</row>
    <row r="391" ht="14.2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</row>
    <row r="392" ht="14.2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</row>
    <row r="393" ht="14.2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</row>
    <row r="394" ht="14.2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</row>
    <row r="395" ht="14.2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</row>
    <row r="396" ht="14.2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</row>
    <row r="397" ht="14.2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</row>
    <row r="398" ht="14.2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</row>
    <row r="399" ht="14.2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</row>
    <row r="400" ht="14.2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</row>
    <row r="401" ht="14.2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</row>
    <row r="402" ht="14.2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</row>
    <row r="403" ht="14.2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</row>
    <row r="404" ht="14.2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</row>
    <row r="405" ht="14.2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</row>
    <row r="406" ht="14.2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</row>
    <row r="407" ht="14.2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</row>
    <row r="408" ht="14.2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</row>
    <row r="409" ht="14.2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</row>
    <row r="410" ht="14.2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</row>
    <row r="411" ht="14.2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</row>
    <row r="412" ht="14.2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</row>
    <row r="413" ht="14.2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</row>
    <row r="414" ht="14.2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</row>
    <row r="415" ht="14.2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</row>
    <row r="416" ht="14.2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</row>
    <row r="417" ht="14.2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</row>
    <row r="418" ht="14.2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</row>
    <row r="419" ht="14.2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</row>
    <row r="420" ht="14.2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</row>
    <row r="421" ht="14.2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</row>
    <row r="422" ht="14.2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</row>
    <row r="423" ht="14.2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</row>
    <row r="424" ht="14.2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</row>
    <row r="425" ht="14.2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</row>
    <row r="426" ht="14.2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</row>
    <row r="427" ht="14.2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</row>
    <row r="428" ht="14.2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</row>
    <row r="429" ht="14.2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</row>
    <row r="430" ht="14.2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</row>
    <row r="431" ht="14.2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</row>
    <row r="432" ht="14.2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</row>
    <row r="433" ht="14.2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</row>
    <row r="434" ht="14.2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</row>
    <row r="435" ht="14.2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</row>
    <row r="436" ht="14.2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</row>
    <row r="437" ht="14.2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</row>
    <row r="438" ht="14.2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</row>
    <row r="439" ht="14.2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</row>
    <row r="440" ht="14.2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</row>
    <row r="441" ht="14.2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</row>
    <row r="442" ht="14.2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</row>
    <row r="443" ht="14.2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</row>
    <row r="444" ht="14.2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</row>
    <row r="445" ht="14.2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</row>
    <row r="446" ht="14.2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</row>
    <row r="447" ht="14.2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</row>
    <row r="448" ht="14.2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</row>
    <row r="449" ht="14.2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</row>
    <row r="450" ht="14.2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</row>
    <row r="451" ht="14.2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</row>
    <row r="452" ht="14.2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</row>
    <row r="453" ht="14.2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</row>
    <row r="454" ht="14.2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</row>
    <row r="455" ht="14.2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</row>
    <row r="456" ht="14.2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</row>
    <row r="457" ht="14.2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</row>
    <row r="458" ht="14.2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</row>
    <row r="459" ht="14.2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</row>
    <row r="460" ht="14.2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</row>
    <row r="461" ht="14.2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</row>
    <row r="462" ht="14.2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</row>
    <row r="463" ht="14.2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</row>
    <row r="464" ht="14.2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</row>
    <row r="465" ht="14.2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</row>
    <row r="466" ht="14.2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</row>
    <row r="467" ht="14.2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</row>
    <row r="468" ht="14.2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</row>
    <row r="469" ht="14.2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</row>
    <row r="470" ht="14.2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</row>
    <row r="471" ht="14.2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</row>
    <row r="472" ht="14.2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</row>
    <row r="473" ht="14.2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</row>
    <row r="474" ht="14.2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</row>
    <row r="475" ht="14.2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</row>
    <row r="476" ht="14.2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</row>
    <row r="477" ht="14.2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</row>
    <row r="478" ht="14.2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</row>
    <row r="479" ht="14.2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</row>
    <row r="480" ht="14.2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</row>
    <row r="481" ht="14.2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</row>
    <row r="482" ht="14.2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</row>
    <row r="483" ht="14.2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</row>
    <row r="484" ht="14.2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</row>
    <row r="485" ht="14.2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</row>
    <row r="486" ht="14.2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</row>
    <row r="487" ht="14.2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</row>
    <row r="488" ht="14.2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</row>
    <row r="489" ht="14.2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</row>
    <row r="490" ht="14.2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</row>
    <row r="491" ht="14.2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</row>
    <row r="492" ht="14.2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</row>
    <row r="493" ht="14.2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</row>
    <row r="494" ht="14.2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</row>
    <row r="495" ht="14.2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</row>
    <row r="496" ht="14.2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</row>
    <row r="497" ht="14.2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</row>
    <row r="498" ht="14.2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</row>
    <row r="499" ht="14.2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</row>
    <row r="500" ht="14.2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</row>
    <row r="501" ht="14.2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</row>
    <row r="502" ht="14.2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</row>
    <row r="503" ht="14.2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</row>
    <row r="504" ht="14.2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</row>
    <row r="505" ht="14.2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</row>
    <row r="506" ht="14.2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</row>
    <row r="507" ht="14.2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</row>
    <row r="508" ht="14.2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</row>
    <row r="509" ht="14.2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</row>
    <row r="510" ht="14.2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</row>
    <row r="511" ht="14.2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</row>
    <row r="512" ht="14.2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</row>
    <row r="513" ht="14.2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</row>
    <row r="514" ht="14.2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</row>
    <row r="515" ht="14.2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</row>
    <row r="516" ht="14.2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</row>
    <row r="517" ht="14.2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</row>
    <row r="518" ht="14.2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</row>
    <row r="519" ht="14.2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</row>
    <row r="520" ht="14.2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</row>
    <row r="521" ht="14.2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</row>
    <row r="522" ht="14.2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</row>
    <row r="523" ht="14.2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</row>
    <row r="524" ht="14.2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</row>
    <row r="525" ht="14.2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</row>
    <row r="526" ht="14.2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</row>
    <row r="527" ht="14.2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</row>
    <row r="528" ht="14.2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</row>
    <row r="529" ht="14.2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</row>
    <row r="530" ht="14.2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</row>
    <row r="531" ht="14.2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</row>
    <row r="532" ht="14.2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</row>
    <row r="533" ht="14.2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</row>
    <row r="534" ht="14.2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</row>
    <row r="535" ht="14.2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</row>
    <row r="536" ht="14.2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</row>
    <row r="537" ht="14.2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</row>
    <row r="538" ht="14.2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</row>
    <row r="539" ht="14.2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</row>
    <row r="540" ht="14.2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</row>
    <row r="541" ht="14.2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</row>
    <row r="542" ht="14.2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</row>
    <row r="543" ht="14.2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</row>
    <row r="544" ht="14.2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</row>
    <row r="545" ht="14.2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</row>
    <row r="546" ht="14.2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</row>
    <row r="547" ht="14.2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</row>
    <row r="548" ht="14.2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</row>
    <row r="549" ht="14.2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</row>
    <row r="550" ht="14.2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</row>
    <row r="551" ht="14.2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</row>
    <row r="552" ht="14.2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</row>
    <row r="553" ht="14.2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</row>
    <row r="554" ht="14.2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</row>
    <row r="555" ht="14.2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</row>
    <row r="556" ht="14.2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</row>
    <row r="557" ht="14.2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</row>
    <row r="558" ht="14.2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</row>
    <row r="559" ht="14.2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</row>
    <row r="560" ht="14.2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</row>
    <row r="561" ht="14.2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</row>
    <row r="562" ht="14.2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</row>
    <row r="563" ht="14.2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</row>
    <row r="564" ht="14.2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</row>
    <row r="565" ht="14.2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</row>
    <row r="566" ht="14.2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</row>
    <row r="567" ht="14.2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</row>
    <row r="568" ht="14.2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</row>
    <row r="569" ht="14.2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</row>
    <row r="570" ht="14.2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</row>
    <row r="571" ht="14.2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</row>
    <row r="572" ht="14.2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</row>
    <row r="573" ht="14.2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</row>
    <row r="574" ht="14.2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</row>
    <row r="575" ht="14.2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</row>
    <row r="576" ht="14.2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</row>
    <row r="577" ht="14.2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</row>
    <row r="578" ht="14.2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</row>
    <row r="579" ht="14.2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</row>
    <row r="580" ht="14.2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</row>
    <row r="581" ht="14.2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</row>
    <row r="582" ht="14.2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</row>
    <row r="583" ht="14.2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</row>
    <row r="584" ht="14.2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</row>
    <row r="585" ht="14.2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</row>
    <row r="586" ht="14.2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</row>
    <row r="587" ht="14.2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</row>
    <row r="588" ht="14.2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</row>
    <row r="589" ht="14.2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</row>
    <row r="590" ht="14.2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</row>
    <row r="591" ht="14.2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</row>
    <row r="592" ht="14.2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</row>
    <row r="593" ht="14.2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</row>
    <row r="594" ht="14.2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</row>
    <row r="595" ht="14.2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</row>
    <row r="596" ht="14.2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</row>
    <row r="597" ht="14.2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</row>
    <row r="598" ht="14.2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</row>
    <row r="599" ht="14.2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</row>
    <row r="600" ht="14.2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</row>
    <row r="601" ht="14.2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</row>
    <row r="602" ht="14.2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</row>
    <row r="603" ht="14.2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</row>
    <row r="604" ht="14.2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</row>
    <row r="605" ht="14.2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</row>
    <row r="606" ht="14.2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</row>
    <row r="607" ht="14.2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</row>
    <row r="608" ht="14.2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</row>
    <row r="609" ht="14.2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</row>
    <row r="610" ht="14.2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</row>
    <row r="611" ht="14.2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</row>
    <row r="612" ht="14.2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</row>
    <row r="613" ht="14.2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</row>
    <row r="614" ht="14.2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</row>
    <row r="615" ht="14.2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</row>
    <row r="616" ht="14.2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</row>
    <row r="617" ht="14.2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</row>
    <row r="618" ht="14.2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</row>
    <row r="619" ht="14.2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</row>
    <row r="620" ht="14.2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</row>
    <row r="621" ht="14.2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</row>
    <row r="622" ht="14.2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</row>
    <row r="623" ht="14.2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</row>
    <row r="624" ht="14.2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</row>
    <row r="625" ht="14.2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</row>
    <row r="626" ht="14.2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</row>
    <row r="627" ht="14.2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</row>
    <row r="628" ht="14.2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</row>
    <row r="629" ht="14.2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</row>
    <row r="630" ht="14.2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</row>
    <row r="631" ht="14.2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</row>
    <row r="632" ht="14.2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</row>
    <row r="633" ht="14.2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</row>
    <row r="634" ht="14.2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</row>
    <row r="635" ht="14.2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</row>
    <row r="636" ht="14.2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</row>
    <row r="637" ht="14.2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</row>
    <row r="638" ht="14.2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</row>
    <row r="639" ht="14.2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</row>
    <row r="640" ht="14.2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</row>
    <row r="641" ht="14.2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</row>
    <row r="642" ht="14.2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</row>
    <row r="643" ht="14.2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</row>
    <row r="644" ht="14.2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</row>
    <row r="645" ht="14.2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</row>
    <row r="646" ht="14.2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</row>
    <row r="647" ht="14.2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</row>
    <row r="648" ht="14.2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</row>
    <row r="649" ht="14.2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</row>
    <row r="650" ht="14.2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</row>
    <row r="651" ht="14.2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</row>
    <row r="652" ht="14.2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</row>
    <row r="653" ht="14.2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</row>
    <row r="654" ht="14.2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</row>
    <row r="655" ht="14.2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</row>
    <row r="656" ht="14.2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</row>
    <row r="657" ht="14.2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</row>
    <row r="658" ht="14.2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</row>
    <row r="659" ht="14.2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</row>
    <row r="660" ht="14.2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</row>
    <row r="661" ht="14.2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</row>
    <row r="662" ht="14.2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</row>
    <row r="663" ht="14.2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</row>
    <row r="664" ht="14.2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</row>
    <row r="665" ht="14.2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</row>
    <row r="666" ht="14.2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</row>
    <row r="667" ht="14.2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</row>
    <row r="668" ht="14.2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</row>
    <row r="669" ht="14.2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</row>
    <row r="670" ht="14.2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</row>
    <row r="671" ht="14.2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</row>
    <row r="672" ht="14.2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</row>
    <row r="673" ht="14.2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</row>
    <row r="674" ht="14.2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</row>
    <row r="675" ht="14.2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</row>
    <row r="676" ht="14.2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</row>
    <row r="677" ht="14.2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</row>
    <row r="678" ht="14.2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</row>
    <row r="679" ht="14.2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</row>
    <row r="680" ht="14.2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</row>
    <row r="681" ht="14.2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</row>
    <row r="682" ht="14.2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</row>
    <row r="683" ht="14.2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</row>
    <row r="684" ht="14.2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</row>
    <row r="685" ht="14.2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</row>
    <row r="686" ht="14.2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</row>
    <row r="687" ht="14.2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</row>
    <row r="688" ht="14.2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</row>
    <row r="689" ht="14.2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</row>
    <row r="690" ht="14.2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</row>
    <row r="691" ht="14.2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</row>
    <row r="692" ht="14.2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</row>
    <row r="693" ht="14.2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</row>
    <row r="694" ht="14.2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</row>
    <row r="695" ht="14.2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</row>
    <row r="696" ht="14.2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</row>
    <row r="697" ht="14.2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</row>
    <row r="698" ht="14.2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</row>
    <row r="699" ht="14.2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</row>
    <row r="700" ht="14.2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</row>
    <row r="701" ht="14.2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</row>
    <row r="702" ht="14.2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</row>
    <row r="703" ht="14.2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</row>
    <row r="704" ht="14.2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</row>
    <row r="705" ht="14.2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</row>
    <row r="706" ht="14.2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</row>
    <row r="707" ht="14.2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</row>
    <row r="708" ht="14.2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</row>
    <row r="709" ht="14.2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</row>
    <row r="710" ht="14.2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</row>
    <row r="711" ht="14.2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</row>
    <row r="712" ht="14.2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</row>
    <row r="713" ht="14.2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</row>
    <row r="714" ht="14.2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</row>
    <row r="715" ht="14.2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</row>
    <row r="716" ht="14.2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</row>
    <row r="717" ht="14.2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</row>
    <row r="718" ht="14.2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</row>
    <row r="719" ht="14.2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</row>
    <row r="720" ht="14.2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</row>
    <row r="721" ht="14.2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</row>
    <row r="722" ht="14.2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</row>
    <row r="723" ht="14.2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</row>
    <row r="724" ht="14.2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</row>
    <row r="725" ht="14.2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</row>
    <row r="726" ht="14.2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</row>
    <row r="727" ht="14.2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</row>
    <row r="728" ht="14.2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</row>
    <row r="729" ht="14.2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</row>
    <row r="730" ht="14.2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</row>
    <row r="731" ht="14.2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</row>
    <row r="732" ht="14.2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</row>
    <row r="733" ht="14.2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</row>
    <row r="734" ht="14.2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</row>
    <row r="735" ht="14.2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</row>
    <row r="736" ht="14.2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</row>
    <row r="737" ht="14.2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</row>
    <row r="738" ht="14.2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</row>
    <row r="739" ht="14.2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</row>
    <row r="740" ht="14.2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</row>
    <row r="741" ht="14.2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</row>
    <row r="742" ht="14.2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</row>
    <row r="743" ht="14.2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</row>
    <row r="744" ht="14.2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</row>
    <row r="745" ht="14.2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</row>
    <row r="746" ht="14.2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</row>
    <row r="747" ht="14.2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</row>
    <row r="748" ht="14.2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</row>
    <row r="749" ht="14.2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</row>
    <row r="750" ht="14.2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</row>
    <row r="751" ht="14.2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</row>
    <row r="752" ht="14.2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</row>
    <row r="753" ht="14.2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</row>
    <row r="754" ht="14.2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</row>
    <row r="755" ht="14.2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</row>
    <row r="756" ht="14.2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</row>
    <row r="757" ht="14.2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</row>
    <row r="758" ht="14.2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</row>
    <row r="759" ht="14.2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</row>
    <row r="760" ht="14.2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</row>
    <row r="761" ht="14.2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</row>
    <row r="762" ht="14.2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</row>
    <row r="763" ht="14.2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</row>
    <row r="764" ht="14.2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</row>
    <row r="765" ht="14.2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</row>
    <row r="766" ht="14.2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</row>
    <row r="767" ht="14.2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</row>
    <row r="768" ht="14.2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</row>
    <row r="769" ht="14.2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</row>
    <row r="770" ht="14.2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</row>
    <row r="771" ht="14.2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</row>
    <row r="772" ht="14.2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</row>
    <row r="773" ht="14.2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</row>
    <row r="774" ht="14.2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</row>
    <row r="775" ht="14.2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</row>
    <row r="776" ht="14.2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</row>
    <row r="777" ht="14.2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</row>
    <row r="778" ht="14.2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</row>
    <row r="779" ht="14.2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</row>
    <row r="780" ht="14.2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</row>
    <row r="781" ht="14.2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</row>
    <row r="782" ht="14.2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</row>
    <row r="783" ht="14.2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</row>
    <row r="784" ht="14.2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</row>
    <row r="785" ht="14.2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</row>
    <row r="786" ht="14.2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</row>
    <row r="787" ht="14.2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</row>
    <row r="788" ht="14.2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</row>
    <row r="789" ht="14.2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</row>
    <row r="790" ht="14.2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</row>
    <row r="791" ht="14.2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</row>
    <row r="792" ht="14.2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</row>
    <row r="793" ht="14.2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</row>
    <row r="794" ht="14.2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</row>
    <row r="795" ht="14.2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</row>
    <row r="796" ht="14.2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</row>
    <row r="797" ht="14.2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</row>
    <row r="798" ht="14.2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</row>
    <row r="799" ht="14.2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</row>
    <row r="800" ht="14.2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</row>
    <row r="801" ht="14.2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</row>
    <row r="802" ht="14.2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</row>
    <row r="803" ht="14.2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</row>
    <row r="804" ht="14.2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</row>
    <row r="805" ht="14.2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</row>
    <row r="806" ht="14.2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</row>
    <row r="807" ht="14.2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</row>
    <row r="808" ht="14.2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</row>
    <row r="809" ht="14.2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</row>
    <row r="810" ht="14.2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</row>
    <row r="811" ht="14.2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</row>
    <row r="812" ht="14.2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</row>
    <row r="813" ht="14.2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</row>
    <row r="814" ht="14.2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</row>
    <row r="815" ht="14.2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</row>
    <row r="816" ht="14.2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</row>
    <row r="817" ht="14.2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</row>
    <row r="818" ht="14.2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</row>
    <row r="819" ht="14.2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</row>
    <row r="820" ht="14.2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</row>
    <row r="821" ht="14.2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</row>
    <row r="822" ht="14.2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</row>
    <row r="823" ht="14.2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</row>
    <row r="824" ht="14.2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</row>
    <row r="825" ht="14.2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</row>
    <row r="826" ht="14.2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</row>
    <row r="827" ht="14.2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</row>
    <row r="828" ht="14.2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</row>
    <row r="829" ht="14.2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</row>
    <row r="830" ht="14.2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</row>
    <row r="831" ht="14.2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</row>
    <row r="832" ht="14.2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</row>
    <row r="833" ht="14.2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</row>
    <row r="834" ht="14.2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</row>
    <row r="835" ht="14.2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</row>
    <row r="836" ht="14.2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</row>
    <row r="837" ht="14.2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</row>
    <row r="838" ht="14.2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</row>
    <row r="839" ht="14.2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</row>
    <row r="840" ht="14.2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</row>
    <row r="841" ht="14.2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</row>
    <row r="842" ht="14.2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</row>
    <row r="843" ht="14.2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</row>
    <row r="844" ht="14.2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</row>
    <row r="845" ht="14.2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</row>
    <row r="846" ht="14.2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</row>
    <row r="847" ht="14.2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</row>
    <row r="848" ht="14.2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</row>
    <row r="849" ht="14.2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</row>
    <row r="850" ht="14.2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</row>
    <row r="851" ht="14.2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</row>
    <row r="852" ht="14.2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</row>
    <row r="853" ht="14.2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</row>
    <row r="854" ht="14.2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</row>
    <row r="855" ht="14.2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</row>
    <row r="856" ht="14.2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</row>
    <row r="857" ht="14.2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</row>
    <row r="858" ht="14.2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</row>
    <row r="859" ht="14.2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</row>
    <row r="860" ht="14.2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</row>
    <row r="861" ht="14.2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</row>
    <row r="862" ht="14.2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</row>
    <row r="863" ht="14.2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</row>
    <row r="864" ht="14.2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</row>
    <row r="865" ht="14.2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</row>
    <row r="866" ht="14.2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</row>
    <row r="867" ht="14.2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</row>
    <row r="868" ht="14.2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</row>
    <row r="869" ht="14.2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</row>
    <row r="870" ht="14.2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</row>
    <row r="871" ht="14.2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</row>
    <row r="872" ht="14.2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</row>
    <row r="873" ht="14.2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</row>
    <row r="874" ht="14.2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</row>
    <row r="875" ht="14.2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</row>
    <row r="876" ht="14.2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</row>
    <row r="877" ht="14.2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</row>
    <row r="878" ht="14.2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</row>
    <row r="879" ht="14.2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</row>
    <row r="880" ht="14.2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</row>
    <row r="881" ht="14.2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</row>
    <row r="882" ht="14.2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</row>
    <row r="883" ht="14.2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</row>
    <row r="884" ht="14.2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</row>
    <row r="885" ht="14.2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</row>
    <row r="886" ht="14.2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</row>
    <row r="887" ht="14.2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</row>
    <row r="888" ht="14.2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</row>
    <row r="889" ht="14.2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</row>
    <row r="890" ht="14.2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</row>
    <row r="891" ht="14.2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</row>
    <row r="892" ht="14.2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</row>
    <row r="893" ht="14.2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</row>
    <row r="894" ht="14.2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</row>
    <row r="895" ht="14.2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</row>
    <row r="896" ht="14.2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</row>
    <row r="897" ht="14.2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</row>
    <row r="898" ht="14.2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</row>
    <row r="899" ht="14.2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</row>
    <row r="900" ht="14.2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</row>
    <row r="901" ht="14.2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</row>
    <row r="902" ht="14.2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</row>
    <row r="903" ht="14.2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</row>
    <row r="904" ht="14.2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</row>
    <row r="905" ht="14.2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</row>
    <row r="906" ht="14.2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</row>
    <row r="907" ht="14.2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</row>
    <row r="908" ht="14.2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</row>
    <row r="909" ht="14.2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</row>
    <row r="910" ht="14.2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</row>
    <row r="911" ht="14.2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</row>
    <row r="912" ht="14.2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</row>
    <row r="913" ht="14.2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</row>
    <row r="914" ht="14.2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</row>
    <row r="915" ht="14.2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</row>
    <row r="916" ht="14.2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</row>
    <row r="917" ht="14.2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</row>
    <row r="918" ht="14.2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</row>
    <row r="919" ht="14.2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</row>
    <row r="920" ht="14.2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</row>
    <row r="921" ht="14.2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</row>
    <row r="922" ht="14.2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</row>
    <row r="923" ht="14.2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</row>
    <row r="924" ht="14.2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</row>
    <row r="925" ht="14.2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</row>
    <row r="926" ht="14.2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</row>
    <row r="927" ht="14.2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</row>
    <row r="928" ht="14.2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</row>
    <row r="929" ht="14.2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</row>
    <row r="930" ht="14.2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</row>
    <row r="931" ht="14.2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</row>
    <row r="932" ht="14.2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</row>
    <row r="933" ht="14.2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</row>
    <row r="934" ht="14.2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</row>
    <row r="935" ht="14.2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</row>
    <row r="936" ht="14.2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</row>
    <row r="937" ht="14.2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</row>
    <row r="938" ht="14.2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</row>
    <row r="939" ht="14.2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</row>
    <row r="940" ht="14.2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</row>
    <row r="941" ht="14.2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</row>
  </sheetData>
  <mergeCells count="2">
    <mergeCell ref="B2:B13"/>
    <mergeCell ref="I8:I13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tabColor rgb="FF2F5496"/>
    <outlinePr summaryBelow="1" summaryRight="1"/>
    <pageSetUpPr/>
  </sheetPr>
  <dimension ref="A1:AH1001"/>
  <sheetViews>
    <sheetView showGridLines="0" workbookViewId="0">
      <selection activeCell="I38" sqref="I38"/>
    </sheetView>
  </sheetViews>
  <sheetFormatPr baseColWidth="10" defaultColWidth="14.453125" defaultRowHeight="15" customHeight="1"/>
  <cols>
    <col width="11.453125" customWidth="1" min="1" max="1"/>
    <col width="39.7265625" customWidth="1" min="2" max="2"/>
    <col width="11.453125" customWidth="1" min="3" max="8"/>
    <col width="44.81640625" bestFit="1" customWidth="1" min="9" max="9"/>
    <col width="11.453125" customWidth="1" min="10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 ht="14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</row>
    <row r="3" ht="14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</row>
    <row r="5" ht="15" customHeight="1">
      <c r="A5" s="1" t="n"/>
      <c r="B5" s="217" t="inlineStr">
        <is>
          <t>Costo de adquisición de consumidores (CAC) — cifras en MXN</t>
        </is>
      </c>
      <c r="H5" s="1" t="n"/>
      <c r="I5" s="213" t="inlineStr">
        <is>
          <t>LifeTime Value (sobre 2 años) — cifras en MXN</t>
        </is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</row>
    <row r="6" ht="14.25" customHeight="1" thickBot="1">
      <c r="A6" s="1" t="n"/>
      <c r="B6" s="257" t="n"/>
      <c r="C6" s="258" t="n"/>
      <c r="D6" s="258" t="n"/>
      <c r="E6" s="258" t="n"/>
      <c r="F6" s="258" t="n"/>
      <c r="G6" s="258" t="n"/>
      <c r="H6" s="1" t="n"/>
      <c r="I6" s="257" t="n"/>
      <c r="J6" s="258" t="n"/>
      <c r="K6" s="258" t="n"/>
      <c r="L6" s="258" t="n"/>
      <c r="M6" s="258" t="n"/>
      <c r="N6" s="258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</row>
    <row r="7" ht="31.15" customHeight="1" thickBot="1">
      <c r="A7" s="1" t="n"/>
      <c r="B7" s="176" t="inlineStr">
        <is>
          <t>Concepto</t>
        </is>
      </c>
      <c r="C7" s="174" t="inlineStr">
        <is>
          <t>Sistema FV Microcrédito</t>
        </is>
      </c>
      <c r="D7" s="174" t="inlineStr">
        <is>
          <t>Sistema FV Contado</t>
        </is>
      </c>
      <c r="E7" s="174" t="inlineStr">
        <is>
          <t>Calentador Solar</t>
        </is>
      </c>
      <c r="F7" s="174" t="n"/>
      <c r="G7" s="174" t="n"/>
      <c r="H7" s="175" t="n"/>
      <c r="I7" s="173" t="n"/>
      <c r="J7" s="174">
        <f>+'Costeo y análisis de rent.'!D2</f>
        <v/>
      </c>
      <c r="K7" s="174">
        <f>+'Costeo y análisis de rent.'!E2</f>
        <v/>
      </c>
      <c r="L7" s="174">
        <f>+'Costeo y análisis de rent.'!F2</f>
        <v/>
      </c>
      <c r="M7" s="174">
        <f>+'Costeo y análisis de rent.'!G2</f>
        <v/>
      </c>
      <c r="N7" s="174">
        <f>+'Costeo y análisis de rent.'!H2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</row>
    <row r="8" ht="14.25" customHeight="1">
      <c r="A8" s="1" t="n"/>
      <c r="B8" s="28" t="inlineStr">
        <is>
          <t>Creación de marca</t>
        </is>
      </c>
      <c r="C8" s="277" t="n">
        <v>6000</v>
      </c>
      <c r="D8" s="277" t="n">
        <v>2500</v>
      </c>
      <c r="E8" s="277" t="n">
        <v>1500</v>
      </c>
      <c r="F8" s="31" t="n"/>
      <c r="G8" s="31" t="n"/>
      <c r="H8" s="1" t="n"/>
      <c r="I8" s="28" t="inlineStr">
        <is>
          <t>Precio</t>
        </is>
      </c>
      <c r="J8" s="271" t="n">
        <v>112000</v>
      </c>
      <c r="K8" s="271" t="n">
        <v>99000</v>
      </c>
      <c r="L8" s="271" t="n">
        <v>13500</v>
      </c>
      <c r="M8" s="31" t="n"/>
      <c r="N8" s="3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</row>
    <row r="9" ht="14.25" customHeight="1" thickBot="1">
      <c r="A9" s="1" t="n"/>
      <c r="B9" s="29" t="inlineStr">
        <is>
          <t>Sitio web (creación y mantenimiento)</t>
        </is>
      </c>
      <c r="C9" s="278" t="n">
        <v>2000</v>
      </c>
      <c r="D9" s="32" t="n"/>
      <c r="E9" s="32" t="n"/>
      <c r="F9" s="32" t="n"/>
      <c r="G9" s="32" t="n"/>
      <c r="H9" s="1" t="n"/>
      <c r="I9" s="29" t="inlineStr">
        <is>
          <t>Costo de material directo</t>
        </is>
      </c>
      <c r="J9" s="271" t="n">
        <v>74000</v>
      </c>
      <c r="K9" s="271" t="n">
        <v>74000</v>
      </c>
      <c r="L9" s="271" t="n">
        <v>7800</v>
      </c>
      <c r="M9" s="32" t="n"/>
      <c r="N9" s="32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</row>
    <row r="10" ht="14.25" customHeight="1" thickBot="1">
      <c r="A10" s="1" t="n"/>
      <c r="B10" s="29" t="inlineStr">
        <is>
          <t>Campañas promocionales</t>
        </is>
      </c>
      <c r="C10" s="278" t="n">
        <v>8000</v>
      </c>
      <c r="D10" s="278" t="n">
        <v>4000</v>
      </c>
      <c r="E10" s="278" t="n">
        <v>3000</v>
      </c>
      <c r="F10" s="32" t="n"/>
      <c r="G10" s="32" t="n"/>
      <c r="H10" s="1" t="n"/>
      <c r="I10" s="33" t="inlineStr">
        <is>
          <t>Margen Bruto</t>
        </is>
      </c>
      <c r="J10" s="279">
        <f>+J8-J9</f>
        <v/>
      </c>
      <c r="K10" s="279">
        <f>+K8-K9</f>
        <v/>
      </c>
      <c r="L10" s="279">
        <f>+L8-L9</f>
        <v/>
      </c>
      <c r="M10" s="34" t="n"/>
      <c r="N10" s="34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</row>
    <row r="11" ht="14.25" customHeight="1" thickBot="1">
      <c r="A11" s="1" t="n"/>
      <c r="B11" s="29" t="inlineStr">
        <is>
          <t>Herramientas de automatización</t>
        </is>
      </c>
      <c r="C11" s="278" t="n">
        <v>3000</v>
      </c>
      <c r="D11" s="32" t="n"/>
      <c r="E11" s="32" t="n"/>
      <c r="F11" s="32" t="n"/>
      <c r="G11" s="32" t="n"/>
      <c r="H11" s="1" t="n"/>
      <c r="I11" s="29" t="inlineStr">
        <is>
          <t>Numero de ventas por cliente sobre 2 años</t>
        </is>
      </c>
      <c r="J11" s="261" t="n">
        <v>1</v>
      </c>
      <c r="K11" s="261" t="n">
        <v>1</v>
      </c>
      <c r="L11" s="261" t="n">
        <v>1.2</v>
      </c>
      <c r="M11" s="35" t="n"/>
      <c r="N11" s="35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</row>
    <row r="12" ht="14.25" customHeight="1" thickBot="1">
      <c r="A12" s="1" t="n"/>
      <c r="B12" s="29" t="inlineStr">
        <is>
          <t>Viáticos</t>
        </is>
      </c>
      <c r="C12" s="32" t="n"/>
      <c r="D12" s="32" t="n"/>
      <c r="E12" s="32" t="n"/>
      <c r="F12" s="32" t="n"/>
      <c r="G12" s="32" t="n"/>
      <c r="H12" s="1" t="n"/>
      <c r="I12" s="33" t="inlineStr">
        <is>
          <t>LTV</t>
        </is>
      </c>
      <c r="J12" s="279">
        <f>+J10*J11</f>
        <v/>
      </c>
      <c r="K12" s="279">
        <f>+K10*K11</f>
        <v/>
      </c>
      <c r="L12" s="279">
        <f>+L10*L11</f>
        <v/>
      </c>
      <c r="M12" s="34" t="n"/>
      <c r="N12" s="34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</row>
    <row r="13" ht="14.25" customHeight="1">
      <c r="A13" s="1" t="n"/>
      <c r="B13" s="29" t="inlineStr">
        <is>
          <t>Conferencias /Webinars</t>
        </is>
      </c>
      <c r="C13" s="32" t="n"/>
      <c r="D13" s="32" t="n"/>
      <c r="E13" s="32" t="n"/>
      <c r="F13" s="32" t="n"/>
      <c r="G13" s="32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</row>
    <row r="14" ht="14.25" customHeight="1">
      <c r="A14" s="1" t="n"/>
      <c r="B14" s="29" t="inlineStr">
        <is>
          <t>Publicidad digital</t>
        </is>
      </c>
      <c r="C14" s="278" t="n">
        <v>28000</v>
      </c>
      <c r="D14" s="278" t="n">
        <v>14000</v>
      </c>
      <c r="E14" s="278" t="n">
        <v>8000</v>
      </c>
      <c r="F14" s="32" t="n"/>
      <c r="G14" s="32" t="n"/>
      <c r="H14" s="1" t="n"/>
      <c r="I14" s="1" t="n"/>
      <c r="J14" s="30" t="n"/>
      <c r="K14" s="30" t="n"/>
      <c r="L14" s="30" t="n"/>
      <c r="M14" s="30" t="n"/>
      <c r="N14" s="30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</row>
    <row r="15" ht="14.25" customHeight="1">
      <c r="A15" s="1" t="n"/>
      <c r="B15" s="29" t="inlineStr">
        <is>
          <t>Producción de videos</t>
        </is>
      </c>
      <c r="C15" s="278" t="n">
        <v>3000</v>
      </c>
      <c r="D15" s="32" t="n"/>
      <c r="E15" s="32" t="n"/>
      <c r="F15" s="32" t="n"/>
      <c r="G15" s="32" t="n"/>
      <c r="H15" s="1" t="n"/>
      <c r="I15" s="1" t="n"/>
      <c r="J15" s="30" t="n"/>
      <c r="K15" s="30" t="n"/>
      <c r="L15" s="30" t="n"/>
      <c r="M15" s="30" t="n"/>
      <c r="N15" s="30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</row>
    <row r="16" ht="14.25" customHeight="1">
      <c r="A16" s="1" t="n"/>
      <c r="B16" s="29" t="inlineStr">
        <is>
          <t>Regalos y muestras</t>
        </is>
      </c>
      <c r="C16" s="32" t="n"/>
      <c r="D16" s="32" t="n"/>
      <c r="E16" s="278" t="n">
        <v>1000</v>
      </c>
      <c r="F16" s="32" t="n"/>
      <c r="G16" s="32" t="n"/>
      <c r="H16" s="1" t="n"/>
      <c r="I16" s="1" t="n"/>
      <c r="J16" s="30" t="n"/>
      <c r="K16" s="30" t="n"/>
      <c r="L16" s="30" t="n"/>
      <c r="M16" s="30" t="n"/>
      <c r="N16" s="30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</row>
    <row r="17" ht="14.25" customHeight="1">
      <c r="A17" s="1" t="n"/>
      <c r="B17" s="29" t="inlineStr">
        <is>
          <t>Comisiones</t>
        </is>
      </c>
      <c r="C17" s="278" t="n">
        <v>18000</v>
      </c>
      <c r="D17" s="278" t="n">
        <v>9000</v>
      </c>
      <c r="E17" s="278" t="n">
        <v>4000</v>
      </c>
      <c r="F17" s="32" t="n"/>
      <c r="G17" s="32" t="n"/>
      <c r="H17" s="1" t="n"/>
      <c r="I17" s="213" t="inlineStr">
        <is>
          <t>Razón de unidades económicas</t>
        </is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</row>
    <row r="18" ht="14.25" customHeight="1" thickBot="1">
      <c r="A18" s="1" t="n"/>
      <c r="B18" s="29" t="inlineStr">
        <is>
          <t xml:space="preserve">Agencias </t>
        </is>
      </c>
      <c r="C18" s="32" t="n"/>
      <c r="D18" s="32" t="n"/>
      <c r="E18" s="32" t="n"/>
      <c r="F18" s="32" t="n"/>
      <c r="G18" s="32" t="n"/>
      <c r="H18" s="1" t="n"/>
      <c r="I18" s="257" t="n"/>
      <c r="J18" s="258" t="n"/>
      <c r="K18" s="258" t="n"/>
      <c r="L18" s="258" t="n"/>
      <c r="M18" s="258" t="n"/>
      <c r="N18" s="258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</row>
    <row r="19" ht="14.25" customHeight="1" thickBot="1">
      <c r="A19" s="1" t="n"/>
      <c r="B19" s="29" t="inlineStr">
        <is>
          <t>Participación en eventos / ferias</t>
        </is>
      </c>
      <c r="C19" s="278" t="n">
        <v>4000</v>
      </c>
      <c r="D19" s="32" t="n"/>
      <c r="E19" s="32" t="n"/>
      <c r="F19" s="32" t="n"/>
      <c r="G19" s="32" t="n"/>
      <c r="H19" s="1" t="n"/>
      <c r="I19" s="33" t="inlineStr">
        <is>
          <t>Razón unitaria (LTV/CAC):</t>
        </is>
      </c>
      <c r="J19" s="280">
        <f>+IF(C26&gt;0,J12/C26,0)</f>
        <v/>
      </c>
      <c r="K19" s="280">
        <f>+IF(D26&gt;0,K12/D26,0)</f>
        <v/>
      </c>
      <c r="L19" s="280">
        <f>+IF(E26&gt;0,L12/E26,0)</f>
        <v/>
      </c>
      <c r="M19" s="36" t="n"/>
      <c r="N19" s="36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</row>
    <row r="20" ht="14.25" customHeight="1">
      <c r="A20" s="1" t="n"/>
      <c r="B20" s="29" t="inlineStr">
        <is>
          <t>Realización de eventos</t>
        </is>
      </c>
      <c r="C20" s="32" t="n"/>
      <c r="D20" s="32" t="n"/>
      <c r="E20" s="32" t="n"/>
      <c r="F20" s="32" t="n"/>
      <c r="G20" s="32" t="n"/>
      <c r="H20" s="1" t="n"/>
      <c r="I20" s="232" t="inlineStr">
        <is>
          <t>LTV/CAC por producto:</t>
        </is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</row>
    <row r="21" ht="14.25" customHeight="1">
      <c r="A21" s="1" t="n"/>
      <c r="B21" s="29" t="inlineStr">
        <is>
          <t>Optimización de motor de busqueda</t>
        </is>
      </c>
      <c r="C21" s="278" t="n">
        <v>2600</v>
      </c>
      <c r="D21" s="278" t="n">
        <v>1500</v>
      </c>
      <c r="E21" s="278" t="n">
        <v>1000</v>
      </c>
      <c r="F21" s="32" t="n"/>
      <c r="G21" s="32" t="n"/>
      <c r="H21" s="1" t="n"/>
      <c r="I21" s="1" t="n"/>
      <c r="J21" s="30" t="n"/>
      <c r="K21" s="30" t="n"/>
      <c r="L21" s="30" t="n"/>
      <c r="M21" s="30" t="n"/>
      <c r="N21" s="30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</row>
    <row r="22" ht="14.25" customHeight="1">
      <c r="A22" s="1" t="n"/>
      <c r="B22" s="29" t="inlineStr">
        <is>
          <t>Influencers</t>
        </is>
      </c>
      <c r="C22" s="278" t="n">
        <v>4000</v>
      </c>
      <c r="D22" s="32" t="n"/>
      <c r="E22" s="32" t="n"/>
      <c r="F22" s="32" t="n"/>
      <c r="G22" s="32" t="n"/>
      <c r="H22" s="1" t="n"/>
      <c r="I22" s="177" t="inlineStr">
        <is>
          <t>Resultado</t>
        </is>
      </c>
      <c r="J22" s="219" t="inlineStr">
        <is>
          <t>Interpretación</t>
        </is>
      </c>
      <c r="N22" s="30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</row>
    <row r="23" ht="14.25" customHeight="1" thickBot="1">
      <c r="A23" s="1" t="n"/>
      <c r="B23" s="11" t="inlineStr">
        <is>
          <t>Otros</t>
        </is>
      </c>
      <c r="C23" s="281" t="n">
        <v>3000</v>
      </c>
      <c r="D23" s="281" t="n">
        <v>3000</v>
      </c>
      <c r="E23" s="281" t="n">
        <v>1000</v>
      </c>
      <c r="F23" s="12" t="n"/>
      <c r="G23" s="12" t="n"/>
      <c r="H23" s="1" t="n"/>
      <c r="I23" s="172" t="inlineStr">
        <is>
          <t>Si Razón unitaria &lt; 1</t>
        </is>
      </c>
      <c r="J23" s="210" t="inlineStr">
        <is>
          <t>El producto no es rentable</t>
        </is>
      </c>
      <c r="K23" s="238" t="n"/>
      <c r="L23" s="238" t="n"/>
      <c r="M23" s="239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</row>
    <row r="24" ht="14.25" customHeight="1" thickBot="1">
      <c r="A24" s="1" t="n"/>
      <c r="B24" s="33" t="inlineStr">
        <is>
          <t>Total</t>
        </is>
      </c>
      <c r="C24" s="34">
        <f>SUM(C8:C23)</f>
        <v/>
      </c>
      <c r="D24" s="34">
        <f>SUM(D8:D23)</f>
        <v/>
      </c>
      <c r="E24" s="34">
        <f>SUM(E8:E23)</f>
        <v/>
      </c>
      <c r="F24" s="34">
        <f>SUM(F8:F23)</f>
        <v/>
      </c>
      <c r="G24" s="34">
        <f>SUM(G8:G23)</f>
        <v/>
      </c>
      <c r="H24" s="1" t="n"/>
      <c r="I24" s="172" t="inlineStr">
        <is>
          <t>1 &lt; Razón Unitaria &lt; 2</t>
        </is>
      </c>
      <c r="J24" s="210" t="inlineStr">
        <is>
          <t>Rentable pero problemas de liquidez</t>
        </is>
      </c>
      <c r="K24" s="238" t="n"/>
      <c r="L24" s="238" t="n"/>
      <c r="M24" s="239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</row>
    <row r="25" ht="14.25" customHeight="1" thickBot="1">
      <c r="A25" s="1" t="n"/>
      <c r="B25" s="37" t="inlineStr">
        <is>
          <t>Clientes adquiridos</t>
        </is>
      </c>
      <c r="C25" s="264" t="n">
        <v>12</v>
      </c>
      <c r="D25" s="264" t="n">
        <v>5</v>
      </c>
      <c r="E25" s="264" t="n">
        <v>13</v>
      </c>
      <c r="F25" s="38" t="n"/>
      <c r="G25" s="38" t="n"/>
      <c r="H25" s="1" t="n"/>
      <c r="I25" s="172" t="inlineStr">
        <is>
          <t>2 &lt; Razón Unitaria &lt; 3</t>
        </is>
      </c>
      <c r="J25" s="210" t="inlineStr">
        <is>
          <t>Rentable y liquido pero no escalable</t>
        </is>
      </c>
      <c r="K25" s="238" t="n"/>
      <c r="L25" s="238" t="n"/>
      <c r="M25" s="239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</row>
    <row r="26" ht="14.25" customHeight="1" thickBot="1">
      <c r="A26" s="1" t="n"/>
      <c r="B26" s="33" t="inlineStr">
        <is>
          <t>CAC</t>
        </is>
      </c>
      <c r="C26" s="279">
        <f>+IF(C25&gt;0,C24/C25,0)</f>
        <v/>
      </c>
      <c r="D26" s="279">
        <f>+IF(D25&gt;0,D24/D25,0)</f>
        <v/>
      </c>
      <c r="E26" s="279">
        <f>+IF(E25&gt;0,E24/E25,0)</f>
        <v/>
      </c>
      <c r="F26" s="34" t="n"/>
      <c r="G26" s="34" t="n"/>
      <c r="H26" s="1" t="n"/>
      <c r="I26" s="172" t="inlineStr">
        <is>
          <t>Si Razón unitaria &gt; 3</t>
        </is>
      </c>
      <c r="J26" s="210" t="inlineStr">
        <is>
          <t>Rentable, liquido y escalable</t>
        </is>
      </c>
      <c r="K26" s="238" t="n"/>
      <c r="L26" s="238" t="n"/>
      <c r="M26" s="239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</row>
    <row r="27" ht="14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</row>
    <row r="28" ht="14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</row>
    <row r="29" ht="14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</row>
    <row r="30" ht="14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</row>
    <row r="31" ht="14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</row>
    <row r="32" ht="14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</row>
    <row r="33" ht="14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</row>
    <row r="34" ht="14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</row>
    <row r="35" ht="14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</row>
    <row r="36" ht="14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</row>
    <row r="37" ht="14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</row>
    <row r="38" ht="14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</row>
    <row r="39" ht="14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</row>
    <row r="40" ht="14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</row>
    <row r="41" ht="14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</row>
    <row r="42" ht="14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</row>
    <row r="43" ht="14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</row>
    <row r="44" ht="14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</row>
    <row r="45" ht="14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</row>
    <row r="46" ht="14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</row>
    <row r="47" ht="14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</row>
    <row r="48" ht="14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</row>
    <row r="49" ht="14.2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</row>
    <row r="50" ht="14.2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</row>
    <row r="51" ht="14.2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</row>
    <row r="52" ht="14.2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</row>
    <row r="53" ht="14.2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</row>
    <row r="54" ht="14.2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</row>
    <row r="55" ht="14.2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</row>
    <row r="56" ht="14.2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</row>
    <row r="57" ht="14.2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</row>
    <row r="58" ht="14.2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</row>
    <row r="59" ht="14.2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</row>
    <row r="60" ht="14.2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</row>
    <row r="61" ht="14.2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</row>
    <row r="62" ht="14.2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</row>
    <row r="63" ht="14.2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</row>
    <row r="64" ht="14.2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</row>
    <row r="65" ht="14.2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</row>
    <row r="66" ht="14.2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</row>
    <row r="67" ht="14.2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</row>
    <row r="68" ht="14.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</row>
    <row r="69" ht="14.2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</row>
    <row r="70" ht="14.2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</row>
    <row r="71" ht="14.2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</row>
    <row r="72" ht="14.2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</row>
    <row r="73" ht="14.2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</row>
    <row r="74" ht="14.2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</row>
    <row r="75" ht="14.2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</row>
    <row r="76" ht="14.2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</row>
    <row r="77" ht="14.2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</row>
    <row r="78" ht="14.2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</row>
    <row r="79" ht="14.2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</row>
    <row r="80" ht="14.2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</row>
    <row r="81" ht="14.2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</row>
    <row r="82" ht="14.2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</row>
    <row r="83" ht="14.2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</row>
    <row r="84" ht="14.2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</row>
    <row r="85" ht="14.2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</row>
    <row r="86" ht="14.2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</row>
    <row r="87" ht="14.2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</row>
    <row r="88" ht="14.2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</row>
    <row r="89" ht="14.2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</row>
    <row r="90" ht="14.2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</row>
    <row r="91" ht="14.2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</row>
    <row r="92" ht="14.2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</row>
    <row r="93" ht="14.2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</row>
    <row r="94" ht="14.2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</row>
    <row r="95" ht="14.2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</row>
    <row r="96" ht="14.2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</row>
    <row r="97" ht="14.2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</row>
    <row r="98" ht="14.2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</row>
    <row r="99" ht="14.2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</row>
    <row r="100" ht="14.2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</row>
    <row r="101" ht="14.2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</row>
    <row r="102" ht="14.2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</row>
    <row r="103" ht="14.2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</row>
    <row r="104" ht="14.2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</row>
    <row r="105" ht="14.2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</row>
    <row r="106" ht="14.2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</row>
    <row r="107" ht="14.2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</row>
    <row r="108" ht="14.2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</row>
    <row r="109" ht="14.2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</row>
    <row r="110" ht="14.2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</row>
    <row r="111" ht="14.2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</row>
    <row r="112" ht="14.2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</row>
    <row r="113" ht="14.2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</row>
    <row r="114" ht="14.2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</row>
    <row r="115" ht="14.2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</row>
    <row r="116" ht="14.2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</row>
    <row r="117" ht="14.2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</row>
    <row r="118" ht="14.2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</row>
    <row r="119" ht="14.2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</row>
    <row r="120" ht="14.2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</row>
    <row r="121" ht="14.2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</row>
    <row r="122" ht="14.2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</row>
    <row r="123" ht="14.2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</row>
    <row r="124" ht="14.2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</row>
    <row r="125" ht="14.2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</row>
    <row r="126" ht="14.2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</row>
    <row r="127" ht="14.2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</row>
    <row r="128" ht="14.2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</row>
    <row r="129" ht="14.2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</row>
    <row r="130" ht="14.2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</row>
    <row r="131" ht="14.2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</row>
    <row r="132" ht="14.2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</row>
    <row r="133" ht="14.2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</row>
    <row r="134" ht="14.2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</row>
    <row r="135" ht="14.2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</row>
    <row r="136" ht="14.2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</row>
    <row r="137" ht="14.2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</row>
    <row r="138" ht="14.2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</row>
    <row r="139" ht="14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</row>
    <row r="140" ht="14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</row>
    <row r="141" ht="14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</row>
    <row r="142" ht="14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</row>
    <row r="143" ht="14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</row>
    <row r="144" ht="14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</row>
    <row r="145" ht="14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</row>
    <row r="146" ht="14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</row>
    <row r="147" ht="14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</row>
    <row r="148" ht="14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</row>
    <row r="149" ht="14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</row>
    <row r="150" ht="14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</row>
    <row r="151" ht="14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</row>
    <row r="152" ht="14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</row>
    <row r="153" ht="14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</row>
    <row r="154" ht="14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</row>
    <row r="155" ht="14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</row>
    <row r="156" ht="14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</row>
    <row r="157" ht="14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</row>
    <row r="158" ht="14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</row>
    <row r="159" ht="14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</row>
    <row r="160" ht="14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</row>
    <row r="161" ht="14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</row>
    <row r="162" ht="14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</row>
    <row r="163" ht="14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</row>
    <row r="164" ht="14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</row>
    <row r="165" ht="14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</row>
    <row r="166" ht="14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</row>
    <row r="167" ht="14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</row>
    <row r="168" ht="14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</row>
    <row r="169" ht="14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</row>
    <row r="170" ht="14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</row>
    <row r="171" ht="14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</row>
    <row r="172" ht="14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</row>
    <row r="173" ht="14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</row>
    <row r="174" ht="14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</row>
    <row r="175" ht="14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</row>
    <row r="176" ht="14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</row>
    <row r="177" ht="14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</row>
    <row r="178" ht="14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</row>
    <row r="179" ht="14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</row>
    <row r="181" ht="14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</row>
    <row r="182" ht="14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</row>
    <row r="183" ht="14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</row>
    <row r="184" ht="14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</row>
    <row r="185" ht="14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</row>
    <row r="186" ht="14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</row>
    <row r="187" ht="14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</row>
    <row r="188" ht="14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</row>
    <row r="189" ht="14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</row>
    <row r="190" ht="14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</row>
    <row r="191" ht="14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</row>
    <row r="192" ht="14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</row>
    <row r="193" ht="14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</row>
    <row r="194" ht="14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</row>
    <row r="195" ht="14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</row>
    <row r="196" ht="14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</row>
    <row r="197" ht="14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</row>
    <row r="198" ht="14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</row>
    <row r="199" ht="14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</row>
    <row r="200" ht="14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</row>
    <row r="201" ht="14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</row>
    <row r="202" ht="14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</row>
    <row r="203" ht="14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</row>
    <row r="204" ht="14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</row>
    <row r="205" ht="14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</row>
    <row r="206" ht="14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</row>
    <row r="207" ht="14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</row>
    <row r="208" ht="14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</row>
    <row r="209" ht="14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</row>
    <row r="210" ht="14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</row>
    <row r="211" ht="14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</row>
    <row r="212" ht="14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</row>
    <row r="213" ht="14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</row>
    <row r="214" ht="14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</row>
    <row r="215" ht="14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</row>
    <row r="216" ht="14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</row>
    <row r="217" ht="14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</row>
    <row r="218" ht="14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</row>
    <row r="219" ht="14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</row>
    <row r="220" ht="14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</row>
    <row r="221" ht="14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</row>
    <row r="222" ht="14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</row>
    <row r="223" ht="14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</row>
    <row r="224" ht="14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</row>
    <row r="225" ht="14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</row>
    <row r="226" ht="14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</row>
    <row r="227" ht="14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</row>
    <row r="228" ht="14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</row>
    <row r="229" ht="14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</row>
    <row r="230" ht="14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</row>
    <row r="231" ht="14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</row>
    <row r="232" ht="14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</row>
    <row r="233" ht="14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</row>
    <row r="234" ht="14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</row>
    <row r="235" ht="14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</row>
    <row r="236" ht="14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</row>
    <row r="237" ht="14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</row>
    <row r="238" ht="14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</row>
    <row r="239" ht="14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</row>
    <row r="240" ht="14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</row>
    <row r="241" ht="14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</row>
    <row r="242" ht="14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</row>
    <row r="243" ht="14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</row>
    <row r="244" ht="14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</row>
    <row r="245" ht="14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</row>
    <row r="246" ht="14.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</row>
    <row r="247" ht="14.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</row>
    <row r="248" ht="14.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</row>
    <row r="249" ht="14.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</row>
    <row r="250" ht="14.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</row>
    <row r="251" ht="14.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</row>
    <row r="252" ht="14.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</row>
    <row r="253" ht="14.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</row>
    <row r="254" ht="14.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</row>
    <row r="255" ht="14.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</row>
    <row r="256" ht="14.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</row>
    <row r="257" ht="14.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</row>
    <row r="258" ht="14.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</row>
    <row r="259" ht="14.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</row>
    <row r="260" ht="14.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</row>
    <row r="261" ht="14.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</row>
    <row r="262" ht="14.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</row>
    <row r="263" ht="14.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</row>
    <row r="264" ht="14.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</row>
    <row r="265" ht="14.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</row>
    <row r="266" ht="14.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</row>
    <row r="267" ht="14.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</row>
    <row r="268" ht="14.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</row>
    <row r="269" ht="14.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</row>
    <row r="270" ht="14.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</row>
    <row r="271" ht="14.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</row>
    <row r="272" ht="14.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</row>
    <row r="273" ht="14.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</row>
    <row r="274" ht="14.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</row>
    <row r="275" ht="14.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</row>
    <row r="276" ht="14.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</row>
    <row r="277" ht="14.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</row>
    <row r="278" ht="14.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</row>
    <row r="279" ht="14.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</row>
    <row r="280" ht="14.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</row>
    <row r="281" ht="14.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</row>
    <row r="282" ht="14.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</row>
    <row r="283" ht="14.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</row>
    <row r="284" ht="14.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</row>
    <row r="285" ht="14.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</row>
    <row r="286" ht="14.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</row>
    <row r="287" ht="14.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</row>
    <row r="288" ht="14.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</row>
    <row r="289" ht="14.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</row>
    <row r="290" ht="14.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</row>
    <row r="291" ht="14.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</row>
    <row r="292" ht="14.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</row>
    <row r="293" ht="14.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</row>
    <row r="294" ht="14.2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</row>
    <row r="295" ht="14.2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</row>
    <row r="296" ht="14.2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</row>
    <row r="297" ht="14.2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</row>
    <row r="298" ht="14.2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</row>
    <row r="299" ht="14.2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</row>
    <row r="300" ht="14.2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</row>
    <row r="301" ht="14.2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</row>
    <row r="302" ht="14.2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</row>
    <row r="303" ht="14.2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</row>
    <row r="304" ht="14.2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</row>
    <row r="305" ht="14.2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</row>
    <row r="306" ht="14.2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</row>
    <row r="307" ht="14.2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</row>
    <row r="308" ht="14.2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</row>
    <row r="309" ht="14.2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</row>
    <row r="310" ht="14.2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</row>
    <row r="311" ht="14.2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</row>
    <row r="312" ht="14.2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</row>
    <row r="313" ht="14.2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</row>
    <row r="314" ht="14.2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</row>
    <row r="315" ht="14.2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</row>
    <row r="316" ht="14.2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</row>
    <row r="317" ht="14.2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</row>
    <row r="318" ht="14.2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</row>
    <row r="319" ht="14.2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</row>
    <row r="320" ht="14.2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</row>
    <row r="321" ht="14.2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</row>
    <row r="322" ht="14.2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</row>
    <row r="323" ht="14.2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</row>
    <row r="324" ht="14.2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</row>
    <row r="325" ht="14.2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</row>
    <row r="326" ht="14.2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</row>
    <row r="327" ht="14.2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</row>
    <row r="328" ht="14.2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</row>
    <row r="329" ht="14.2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</row>
    <row r="330" ht="14.2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</row>
    <row r="331" ht="14.2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</row>
    <row r="332" ht="14.2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</row>
    <row r="333" ht="14.2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</row>
    <row r="334" ht="14.2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</row>
    <row r="335" ht="14.2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</row>
    <row r="336" ht="14.2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</row>
    <row r="337" ht="14.2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</row>
    <row r="338" ht="14.2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</row>
    <row r="339" ht="14.2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</row>
    <row r="340" ht="14.2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</row>
    <row r="341" ht="14.2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</row>
    <row r="342" ht="14.2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</row>
    <row r="343" ht="14.2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</row>
    <row r="344" ht="14.2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</row>
    <row r="345" ht="14.2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</row>
    <row r="346" ht="14.2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</row>
    <row r="347" ht="14.2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</row>
    <row r="348" ht="14.2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</row>
    <row r="349" ht="14.2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</row>
    <row r="350" ht="14.2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</row>
    <row r="351" ht="14.2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</row>
    <row r="352" ht="14.2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</row>
    <row r="353" ht="14.2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</row>
    <row r="354" ht="14.2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</row>
    <row r="355" ht="14.2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</row>
    <row r="356" ht="14.2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</row>
    <row r="357" ht="14.2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</row>
    <row r="358" ht="14.2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</row>
    <row r="359" ht="14.2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</row>
    <row r="360" ht="14.2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</row>
    <row r="361" ht="14.2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</row>
    <row r="362" ht="14.2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</row>
    <row r="363" ht="14.2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</row>
    <row r="364" ht="14.2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</row>
    <row r="365" ht="14.2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</row>
    <row r="366" ht="14.2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</row>
    <row r="367" ht="14.2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</row>
    <row r="368" ht="14.2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</row>
    <row r="369" ht="14.2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</row>
    <row r="370" ht="14.2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</row>
    <row r="371" ht="14.2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</row>
    <row r="372" ht="14.2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</row>
    <row r="373" ht="14.2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</row>
    <row r="374" ht="14.2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</row>
    <row r="375" ht="14.2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</row>
    <row r="376" ht="14.2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</row>
    <row r="377" ht="14.2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</row>
    <row r="378" ht="14.2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</row>
    <row r="379" ht="14.2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</row>
    <row r="380" ht="14.2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</row>
    <row r="381" ht="14.2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</row>
    <row r="382" ht="14.2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</row>
    <row r="383" ht="14.2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</row>
    <row r="384" ht="14.2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</row>
    <row r="385" ht="14.2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</row>
    <row r="386" ht="14.2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</row>
    <row r="387" ht="14.2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</row>
    <row r="388" ht="14.2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</row>
    <row r="389" ht="14.2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</row>
    <row r="390" ht="14.2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</row>
    <row r="391" ht="14.2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</row>
    <row r="392" ht="14.2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</row>
    <row r="393" ht="14.2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</row>
    <row r="394" ht="14.2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</row>
    <row r="395" ht="14.2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</row>
    <row r="396" ht="14.2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</row>
    <row r="397" ht="14.2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</row>
    <row r="398" ht="14.2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</row>
    <row r="399" ht="14.2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</row>
    <row r="400" ht="14.2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</row>
    <row r="401" ht="14.2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</row>
    <row r="402" ht="14.2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</row>
    <row r="403" ht="14.2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</row>
    <row r="404" ht="14.2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</row>
    <row r="405" ht="14.2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</row>
    <row r="406" ht="14.2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</row>
    <row r="407" ht="14.2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</row>
    <row r="408" ht="14.2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</row>
    <row r="409" ht="14.2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</row>
    <row r="410" ht="14.2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</row>
    <row r="411" ht="14.2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</row>
    <row r="412" ht="14.2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</row>
    <row r="413" ht="14.2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</row>
    <row r="414" ht="14.2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</row>
    <row r="415" ht="14.2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</row>
    <row r="416" ht="14.2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</row>
    <row r="417" ht="14.2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</row>
    <row r="418" ht="14.2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</row>
    <row r="419" ht="14.2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</row>
    <row r="420" ht="14.2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</row>
    <row r="421" ht="14.2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</row>
    <row r="422" ht="14.2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</row>
    <row r="423" ht="14.2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</row>
    <row r="424" ht="14.2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</row>
    <row r="425" ht="14.2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</row>
    <row r="426" ht="14.2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</row>
    <row r="427" ht="14.2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</row>
    <row r="428" ht="14.2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</row>
    <row r="429" ht="14.2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</row>
    <row r="430" ht="14.2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</row>
    <row r="431" ht="14.2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</row>
    <row r="432" ht="14.2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</row>
    <row r="433" ht="14.2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</row>
    <row r="434" ht="14.2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</row>
    <row r="435" ht="14.2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</row>
    <row r="436" ht="14.2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</row>
    <row r="437" ht="14.2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</row>
    <row r="438" ht="14.2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</row>
    <row r="439" ht="14.2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</row>
    <row r="440" ht="14.2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</row>
    <row r="441" ht="14.2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</row>
    <row r="442" ht="14.2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</row>
    <row r="443" ht="14.2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</row>
    <row r="444" ht="14.2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</row>
    <row r="445" ht="14.2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</row>
    <row r="446" ht="14.2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</row>
    <row r="447" ht="14.2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</row>
    <row r="448" ht="14.2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</row>
    <row r="449" ht="14.2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</row>
    <row r="450" ht="14.2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</row>
    <row r="451" ht="14.2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</row>
    <row r="452" ht="14.2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</row>
    <row r="453" ht="14.2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</row>
    <row r="454" ht="14.2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</row>
    <row r="455" ht="14.2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</row>
    <row r="456" ht="14.2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</row>
    <row r="457" ht="14.2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</row>
    <row r="458" ht="14.2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</row>
    <row r="459" ht="14.2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</row>
    <row r="460" ht="14.2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</row>
    <row r="461" ht="14.2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</row>
    <row r="462" ht="14.2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</row>
    <row r="463" ht="14.2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</row>
    <row r="464" ht="14.2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</row>
    <row r="465" ht="14.2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</row>
    <row r="466" ht="14.2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</row>
    <row r="467" ht="14.2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</row>
    <row r="468" ht="14.2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</row>
    <row r="469" ht="14.2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</row>
    <row r="470" ht="14.2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</row>
    <row r="471" ht="14.2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</row>
    <row r="472" ht="14.2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</row>
    <row r="473" ht="14.2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</row>
    <row r="474" ht="14.2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</row>
    <row r="475" ht="14.2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</row>
    <row r="476" ht="14.2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</row>
    <row r="477" ht="14.2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</row>
    <row r="478" ht="14.2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</row>
    <row r="479" ht="14.2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</row>
    <row r="480" ht="14.2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</row>
    <row r="481" ht="14.2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</row>
    <row r="482" ht="14.2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</row>
    <row r="483" ht="14.2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</row>
    <row r="484" ht="14.2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</row>
    <row r="485" ht="14.2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</row>
    <row r="486" ht="14.2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</row>
    <row r="487" ht="14.2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</row>
    <row r="488" ht="14.2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</row>
    <row r="489" ht="14.2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</row>
    <row r="490" ht="14.2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</row>
    <row r="491" ht="14.2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</row>
    <row r="492" ht="14.2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</row>
    <row r="493" ht="14.2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</row>
    <row r="494" ht="14.2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</row>
    <row r="495" ht="14.2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</row>
    <row r="496" ht="14.2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</row>
    <row r="497" ht="14.2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</row>
    <row r="498" ht="14.2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</row>
    <row r="499" ht="14.2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</row>
    <row r="500" ht="14.2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</row>
    <row r="501" ht="14.2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</row>
    <row r="502" ht="14.2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</row>
    <row r="503" ht="14.2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</row>
    <row r="504" ht="14.2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</row>
    <row r="505" ht="14.2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</row>
    <row r="506" ht="14.2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</row>
    <row r="507" ht="14.2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</row>
    <row r="508" ht="14.2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</row>
    <row r="509" ht="14.2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</row>
    <row r="510" ht="14.2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</row>
    <row r="511" ht="14.2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</row>
    <row r="512" ht="14.2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</row>
    <row r="513" ht="14.2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</row>
    <row r="514" ht="14.2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</row>
    <row r="515" ht="14.2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</row>
    <row r="516" ht="14.2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</row>
    <row r="517" ht="14.2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</row>
    <row r="518" ht="14.2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</row>
    <row r="519" ht="14.2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</row>
    <row r="520" ht="14.2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</row>
    <row r="521" ht="14.2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</row>
    <row r="522" ht="14.2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</row>
    <row r="523" ht="14.2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</row>
    <row r="524" ht="14.2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</row>
    <row r="525" ht="14.2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</row>
    <row r="526" ht="14.2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</row>
    <row r="527" ht="14.2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</row>
    <row r="528" ht="14.2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</row>
    <row r="529" ht="14.2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</row>
    <row r="530" ht="14.2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</row>
    <row r="531" ht="14.2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</row>
    <row r="532" ht="14.2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</row>
    <row r="533" ht="14.2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</row>
    <row r="534" ht="14.2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</row>
    <row r="535" ht="14.2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</row>
    <row r="536" ht="14.2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</row>
    <row r="537" ht="14.2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</row>
    <row r="538" ht="14.2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</row>
    <row r="539" ht="14.2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</row>
    <row r="540" ht="14.2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</row>
    <row r="541" ht="14.2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</row>
    <row r="542" ht="14.2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</row>
    <row r="543" ht="14.2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</row>
    <row r="544" ht="14.2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</row>
    <row r="545" ht="14.2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</row>
    <row r="546" ht="14.2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</row>
    <row r="547" ht="14.2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</row>
    <row r="548" ht="14.2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</row>
    <row r="549" ht="14.2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</row>
    <row r="550" ht="14.2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</row>
    <row r="551" ht="14.2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</row>
    <row r="552" ht="14.2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</row>
    <row r="553" ht="14.2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</row>
    <row r="554" ht="14.2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</row>
    <row r="555" ht="14.2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</row>
    <row r="556" ht="14.2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</row>
    <row r="557" ht="14.2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</row>
    <row r="558" ht="14.2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</row>
    <row r="559" ht="14.2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</row>
    <row r="560" ht="14.2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</row>
    <row r="561" ht="14.2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</row>
    <row r="562" ht="14.2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</row>
    <row r="563" ht="14.2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</row>
    <row r="564" ht="14.2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</row>
    <row r="565" ht="14.2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</row>
    <row r="566" ht="14.2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</row>
    <row r="567" ht="14.2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</row>
    <row r="568" ht="14.2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</row>
    <row r="569" ht="14.2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</row>
    <row r="570" ht="14.2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</row>
    <row r="571" ht="14.2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</row>
    <row r="572" ht="14.2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</row>
    <row r="573" ht="14.2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</row>
    <row r="574" ht="14.2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</row>
    <row r="575" ht="14.2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</row>
    <row r="576" ht="14.2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</row>
    <row r="577" ht="14.2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</row>
    <row r="578" ht="14.2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</row>
    <row r="579" ht="14.2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</row>
    <row r="580" ht="14.2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</row>
    <row r="581" ht="14.2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</row>
    <row r="582" ht="14.2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</row>
    <row r="583" ht="14.2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</row>
    <row r="584" ht="14.2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</row>
    <row r="585" ht="14.2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</row>
    <row r="586" ht="14.2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</row>
    <row r="587" ht="14.2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</row>
    <row r="588" ht="14.2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</row>
    <row r="589" ht="14.2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</row>
    <row r="590" ht="14.2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</row>
    <row r="591" ht="14.2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</row>
    <row r="592" ht="14.2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</row>
    <row r="593" ht="14.2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</row>
    <row r="594" ht="14.2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</row>
    <row r="595" ht="14.2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</row>
    <row r="596" ht="14.2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</row>
    <row r="597" ht="14.2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</row>
    <row r="598" ht="14.2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</row>
    <row r="599" ht="14.2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</row>
    <row r="600" ht="14.2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</row>
    <row r="601" ht="14.2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</row>
    <row r="602" ht="14.2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</row>
    <row r="603" ht="14.2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</row>
    <row r="604" ht="14.2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</row>
    <row r="605" ht="14.2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</row>
    <row r="606" ht="14.2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</row>
    <row r="607" ht="14.2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</row>
    <row r="608" ht="14.2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</row>
    <row r="609" ht="14.2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</row>
    <row r="610" ht="14.2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</row>
    <row r="611" ht="14.2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</row>
    <row r="612" ht="14.2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</row>
    <row r="613" ht="14.2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</row>
    <row r="614" ht="14.2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</row>
    <row r="615" ht="14.2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</row>
    <row r="616" ht="14.2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</row>
    <row r="617" ht="14.2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</row>
    <row r="618" ht="14.2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</row>
    <row r="619" ht="14.2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</row>
    <row r="620" ht="14.2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</row>
    <row r="621" ht="14.2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</row>
    <row r="622" ht="14.2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</row>
    <row r="623" ht="14.2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</row>
    <row r="624" ht="14.2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</row>
    <row r="625" ht="14.2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</row>
    <row r="626" ht="14.2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</row>
    <row r="627" ht="14.2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</row>
    <row r="628" ht="14.2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</row>
    <row r="629" ht="14.2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</row>
    <row r="630" ht="14.2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</row>
    <row r="631" ht="14.2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</row>
    <row r="632" ht="14.2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</row>
    <row r="633" ht="14.2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</row>
    <row r="634" ht="14.2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</row>
    <row r="635" ht="14.2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</row>
    <row r="636" ht="14.2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</row>
    <row r="637" ht="14.2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</row>
    <row r="638" ht="14.2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</row>
    <row r="639" ht="14.2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</row>
    <row r="640" ht="14.2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</row>
    <row r="641" ht="14.2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</row>
    <row r="642" ht="14.2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</row>
    <row r="643" ht="14.2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</row>
    <row r="644" ht="14.2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</row>
    <row r="645" ht="14.2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</row>
    <row r="646" ht="14.2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</row>
    <row r="647" ht="14.2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</row>
    <row r="648" ht="14.2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</row>
    <row r="649" ht="14.2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</row>
    <row r="650" ht="14.2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</row>
    <row r="651" ht="14.2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</row>
    <row r="652" ht="14.2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</row>
    <row r="653" ht="14.2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</row>
    <row r="654" ht="14.2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</row>
    <row r="655" ht="14.2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</row>
    <row r="656" ht="14.2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</row>
    <row r="657" ht="14.2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</row>
    <row r="658" ht="14.2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</row>
    <row r="659" ht="14.2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</row>
    <row r="660" ht="14.2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</row>
    <row r="661" ht="14.2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</row>
    <row r="662" ht="14.2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</row>
    <row r="663" ht="14.2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</row>
    <row r="664" ht="14.2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</row>
    <row r="665" ht="14.2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</row>
    <row r="666" ht="14.2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</row>
    <row r="667" ht="14.2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</row>
    <row r="668" ht="14.2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</row>
    <row r="669" ht="14.2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</row>
    <row r="670" ht="14.2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</row>
    <row r="671" ht="14.2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</row>
    <row r="672" ht="14.2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</row>
    <row r="673" ht="14.2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</row>
    <row r="674" ht="14.2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</row>
    <row r="675" ht="14.2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</row>
    <row r="676" ht="14.2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</row>
    <row r="677" ht="14.2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</row>
    <row r="678" ht="14.2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</row>
    <row r="679" ht="14.2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</row>
    <row r="680" ht="14.2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</row>
    <row r="681" ht="14.2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</row>
    <row r="682" ht="14.2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</row>
    <row r="683" ht="14.2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</row>
    <row r="684" ht="14.2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</row>
    <row r="685" ht="14.2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</row>
    <row r="686" ht="14.2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</row>
    <row r="687" ht="14.2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</row>
    <row r="688" ht="14.2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</row>
    <row r="689" ht="14.2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</row>
    <row r="690" ht="14.2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</row>
    <row r="691" ht="14.2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</row>
    <row r="692" ht="14.2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</row>
    <row r="693" ht="14.2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</row>
    <row r="694" ht="14.2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</row>
    <row r="695" ht="14.2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</row>
    <row r="696" ht="14.2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</row>
    <row r="697" ht="14.2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</row>
    <row r="698" ht="14.2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</row>
    <row r="699" ht="14.2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</row>
    <row r="700" ht="14.2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</row>
    <row r="701" ht="14.2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</row>
    <row r="702" ht="14.2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</row>
    <row r="703" ht="14.2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</row>
    <row r="704" ht="14.2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</row>
    <row r="705" ht="14.2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</row>
    <row r="706" ht="14.2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</row>
    <row r="707" ht="14.2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</row>
    <row r="708" ht="14.2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</row>
    <row r="709" ht="14.2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</row>
    <row r="710" ht="14.2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</row>
    <row r="711" ht="14.2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</row>
    <row r="712" ht="14.2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</row>
    <row r="713" ht="14.2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</row>
    <row r="714" ht="14.2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</row>
    <row r="715" ht="14.2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</row>
    <row r="716" ht="14.2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</row>
    <row r="717" ht="14.2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</row>
    <row r="718" ht="14.2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</row>
    <row r="719" ht="14.2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</row>
    <row r="720" ht="14.2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</row>
    <row r="721" ht="14.2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</row>
    <row r="722" ht="14.2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</row>
    <row r="723" ht="14.2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</row>
    <row r="724" ht="14.2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</row>
    <row r="725" ht="14.2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</row>
    <row r="726" ht="14.2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</row>
    <row r="727" ht="14.2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</row>
    <row r="728" ht="14.2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</row>
    <row r="729" ht="14.2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</row>
    <row r="730" ht="14.2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</row>
    <row r="731" ht="14.2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</row>
    <row r="732" ht="14.2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</row>
    <row r="733" ht="14.2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</row>
    <row r="734" ht="14.2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</row>
    <row r="735" ht="14.2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</row>
    <row r="736" ht="14.2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</row>
    <row r="737" ht="14.2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</row>
    <row r="738" ht="14.2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</row>
    <row r="739" ht="14.2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</row>
    <row r="740" ht="14.2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</row>
    <row r="741" ht="14.2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</row>
    <row r="742" ht="14.2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</row>
    <row r="743" ht="14.2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</row>
    <row r="744" ht="14.2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</row>
    <row r="745" ht="14.2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</row>
    <row r="746" ht="14.2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</row>
    <row r="747" ht="14.2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</row>
    <row r="748" ht="14.2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</row>
    <row r="749" ht="14.2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</row>
    <row r="750" ht="14.2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</row>
    <row r="751" ht="14.2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</row>
    <row r="752" ht="14.2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</row>
    <row r="753" ht="14.2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</row>
    <row r="754" ht="14.2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</row>
    <row r="755" ht="14.2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</row>
    <row r="756" ht="14.2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</row>
    <row r="757" ht="14.2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</row>
    <row r="758" ht="14.2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</row>
    <row r="759" ht="14.2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</row>
    <row r="760" ht="14.2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</row>
    <row r="761" ht="14.2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</row>
    <row r="762" ht="14.2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</row>
    <row r="763" ht="14.2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</row>
    <row r="764" ht="14.2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</row>
    <row r="765" ht="14.2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</row>
    <row r="766" ht="14.2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</row>
    <row r="767" ht="14.2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</row>
    <row r="768" ht="14.2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</row>
    <row r="769" ht="14.2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</row>
    <row r="770" ht="14.2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</row>
    <row r="771" ht="14.2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</row>
    <row r="772" ht="14.2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</row>
    <row r="773" ht="14.2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</row>
    <row r="774" ht="14.2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</row>
    <row r="775" ht="14.2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</row>
    <row r="776" ht="14.2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</row>
    <row r="777" ht="14.2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</row>
    <row r="778" ht="14.2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</row>
    <row r="779" ht="14.2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</row>
    <row r="780" ht="14.2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</row>
    <row r="781" ht="14.2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</row>
    <row r="782" ht="14.2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</row>
    <row r="783" ht="14.2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</row>
    <row r="784" ht="14.2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</row>
    <row r="785" ht="14.2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</row>
    <row r="786" ht="14.2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</row>
    <row r="787" ht="14.2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</row>
    <row r="788" ht="14.2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</row>
    <row r="789" ht="14.2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</row>
    <row r="790" ht="14.2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</row>
    <row r="791" ht="14.2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</row>
    <row r="792" ht="14.2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</row>
    <row r="793" ht="14.2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</row>
    <row r="794" ht="14.2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</row>
    <row r="795" ht="14.2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</row>
    <row r="796" ht="14.2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</row>
    <row r="797" ht="14.2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</row>
    <row r="798" ht="14.2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</row>
    <row r="799" ht="14.2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</row>
    <row r="800" ht="14.2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</row>
    <row r="801" ht="14.2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</row>
    <row r="802" ht="14.2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</row>
    <row r="803" ht="14.2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</row>
    <row r="804" ht="14.2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</row>
    <row r="805" ht="14.2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</row>
    <row r="806" ht="14.2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</row>
    <row r="807" ht="14.2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</row>
    <row r="808" ht="14.2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</row>
    <row r="809" ht="14.2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</row>
    <row r="810" ht="14.2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</row>
    <row r="811" ht="14.2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</row>
    <row r="812" ht="14.2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</row>
    <row r="813" ht="14.2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</row>
    <row r="814" ht="14.2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</row>
    <row r="815" ht="14.2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</row>
    <row r="816" ht="14.2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</row>
    <row r="817" ht="14.2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</row>
    <row r="818" ht="14.2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</row>
    <row r="819" ht="14.2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</row>
    <row r="820" ht="14.2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</row>
    <row r="821" ht="14.2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</row>
    <row r="822" ht="14.2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</row>
    <row r="823" ht="14.2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</row>
    <row r="824" ht="14.2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</row>
    <row r="825" ht="14.2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</row>
    <row r="826" ht="14.2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</row>
    <row r="827" ht="14.2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</row>
    <row r="828" ht="14.2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</row>
    <row r="829" ht="14.2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</row>
    <row r="830" ht="14.2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</row>
    <row r="831" ht="14.2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</row>
    <row r="832" ht="14.2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</row>
    <row r="833" ht="14.2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</row>
    <row r="834" ht="14.2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</row>
    <row r="835" ht="14.2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</row>
    <row r="836" ht="14.2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</row>
    <row r="837" ht="14.2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</row>
    <row r="838" ht="14.2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</row>
    <row r="839" ht="14.2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</row>
    <row r="840" ht="14.2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</row>
    <row r="841" ht="14.2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</row>
    <row r="842" ht="14.2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</row>
    <row r="843" ht="14.2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</row>
    <row r="844" ht="14.2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</row>
    <row r="845" ht="14.2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</row>
    <row r="846" ht="14.2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</row>
    <row r="847" ht="14.2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</row>
    <row r="848" ht="14.2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</row>
    <row r="849" ht="14.2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</row>
    <row r="850" ht="14.2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</row>
    <row r="851" ht="14.2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</row>
    <row r="852" ht="14.2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</row>
    <row r="853" ht="14.2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</row>
    <row r="854" ht="14.2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</row>
    <row r="855" ht="14.2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</row>
    <row r="856" ht="14.2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</row>
    <row r="857" ht="14.2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</row>
    <row r="858" ht="14.2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</row>
    <row r="859" ht="14.2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</row>
    <row r="860" ht="14.2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</row>
    <row r="861" ht="14.2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</row>
    <row r="862" ht="14.2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</row>
    <row r="863" ht="14.2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</row>
    <row r="864" ht="14.2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</row>
    <row r="865" ht="14.2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</row>
    <row r="866" ht="14.2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</row>
    <row r="867" ht="14.2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</row>
    <row r="868" ht="14.2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</row>
    <row r="869" ht="14.2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</row>
    <row r="870" ht="14.2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</row>
    <row r="871" ht="14.2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</row>
    <row r="872" ht="14.2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</row>
    <row r="873" ht="14.2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</row>
    <row r="874" ht="14.2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</row>
    <row r="875" ht="14.2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</row>
    <row r="876" ht="14.2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</row>
    <row r="877" ht="14.2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</row>
    <row r="878" ht="14.2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</row>
    <row r="879" ht="14.2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</row>
    <row r="880" ht="14.2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</row>
    <row r="881" ht="14.2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</row>
    <row r="882" ht="14.2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</row>
    <row r="883" ht="14.2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</row>
    <row r="884" ht="14.2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</row>
    <row r="885" ht="14.2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</row>
    <row r="886" ht="14.2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</row>
    <row r="887" ht="14.2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</row>
    <row r="888" ht="14.2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</row>
    <row r="889" ht="14.2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</row>
    <row r="890" ht="14.2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</row>
    <row r="891" ht="14.2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</row>
    <row r="892" ht="14.2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</row>
    <row r="893" ht="14.2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</row>
    <row r="894" ht="14.2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</row>
    <row r="895" ht="14.2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</row>
    <row r="896" ht="14.2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</row>
    <row r="897" ht="14.2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</row>
    <row r="898" ht="14.2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</row>
    <row r="899" ht="14.2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</row>
    <row r="900" ht="14.2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</row>
    <row r="901" ht="14.2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</row>
    <row r="902" ht="14.2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</row>
    <row r="903" ht="14.2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</row>
    <row r="904" ht="14.2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</row>
    <row r="905" ht="14.2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</row>
    <row r="906" ht="14.2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</row>
    <row r="907" ht="14.2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</row>
    <row r="908" ht="14.2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</row>
    <row r="909" ht="14.2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</row>
    <row r="910" ht="14.2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</row>
    <row r="911" ht="14.2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</row>
    <row r="912" ht="14.2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</row>
    <row r="913" ht="14.2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</row>
    <row r="914" ht="14.2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</row>
    <row r="915" ht="14.2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</row>
    <row r="916" ht="14.2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</row>
    <row r="917" ht="14.2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</row>
    <row r="918" ht="14.2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</row>
    <row r="919" ht="14.2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</row>
    <row r="920" ht="14.2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</row>
    <row r="921" ht="14.2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</row>
    <row r="922" ht="14.2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</row>
    <row r="923" ht="14.2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</row>
    <row r="924" ht="14.2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</row>
    <row r="925" ht="14.2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</row>
    <row r="926" ht="14.2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</row>
    <row r="927" ht="14.2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</row>
    <row r="928" ht="14.2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</row>
    <row r="929" ht="14.2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</row>
    <row r="930" ht="14.2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</row>
    <row r="931" ht="14.2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</row>
    <row r="932" ht="14.2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</row>
    <row r="933" ht="14.2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</row>
    <row r="934" ht="14.2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</row>
    <row r="935" ht="14.2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</row>
    <row r="936" ht="14.2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</row>
    <row r="937" ht="14.2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</row>
    <row r="938" ht="14.2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</row>
    <row r="939" ht="14.2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</row>
    <row r="940" ht="14.2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</row>
    <row r="941" ht="14.2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</row>
    <row r="942" ht="14.2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</row>
    <row r="943" ht="14.2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</row>
    <row r="944" ht="14.2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</row>
    <row r="945" ht="14.2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</row>
    <row r="946" ht="14.2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</row>
    <row r="947" ht="14.2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</row>
    <row r="948" ht="14.2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</row>
    <row r="949" ht="14.2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</row>
    <row r="950" ht="14.2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</row>
    <row r="951" ht="14.2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</row>
    <row r="952" ht="14.2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</row>
    <row r="953" ht="14.2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</row>
    <row r="954" ht="14.2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</row>
    <row r="955" ht="14.2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</row>
    <row r="956" ht="14.2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</row>
    <row r="957" ht="14.2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</row>
    <row r="958" ht="14.2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</row>
    <row r="959" ht="14.2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</row>
    <row r="960" ht="14.2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</row>
    <row r="961" ht="14.2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</row>
    <row r="962" ht="14.2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</row>
    <row r="963" ht="14.2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</row>
    <row r="964" ht="14.2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</row>
    <row r="965" ht="14.2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</row>
    <row r="966" ht="14.2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</row>
    <row r="967" ht="14.2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</row>
    <row r="968" ht="14.2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</row>
    <row r="969" ht="14.2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</row>
    <row r="970" ht="14.2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</row>
    <row r="971" ht="14.2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</row>
    <row r="972" ht="14.2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</row>
    <row r="973" ht="14.2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</row>
    <row r="974" ht="14.2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</row>
    <row r="975" ht="14.2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</row>
    <row r="976" ht="14.2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</row>
    <row r="977" ht="14.2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</row>
    <row r="978" ht="14.2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</row>
    <row r="979" ht="14.2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</row>
    <row r="980" ht="14.2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</row>
    <row r="981" ht="14.2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</row>
    <row r="982" ht="14.2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</row>
    <row r="983" ht="14.2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</row>
    <row r="984" ht="14.2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</row>
    <row r="985" ht="14.2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</row>
    <row r="986" ht="14.2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</row>
    <row r="987" ht="14.2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</row>
    <row r="988" ht="14.2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</row>
    <row r="989" ht="14.2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</row>
    <row r="990" ht="14.2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</row>
    <row r="991" ht="14.2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</row>
    <row r="992" ht="14.2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</row>
    <row r="993" ht="14.2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</row>
    <row r="994" ht="14.2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</row>
    <row r="995" ht="14.2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</row>
    <row r="996" ht="14.2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</row>
    <row r="997" ht="14.2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</row>
    <row r="998" ht="14.2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</row>
    <row r="999" ht="14.2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</row>
    <row r="1000" ht="14.2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</row>
    <row r="1001" ht="14.2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  <c r="AH1001" s="1" t="n"/>
    </row>
  </sheetData>
  <mergeCells count="8">
    <mergeCell ref="J23:M23"/>
    <mergeCell ref="I17:N18"/>
    <mergeCell ref="J22:M22"/>
    <mergeCell ref="J26:M26"/>
    <mergeCell ref="B5:G6"/>
    <mergeCell ref="I5:N6"/>
    <mergeCell ref="J24:M24"/>
    <mergeCell ref="J25:M2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2F5496"/>
    <outlinePr summaryBelow="1" summaryRight="1"/>
    <pageSetUpPr/>
  </sheetPr>
  <dimension ref="B2:F13"/>
  <sheetViews>
    <sheetView showGridLines="0" workbookViewId="0">
      <selection activeCell="F4" sqref="D4:F9"/>
    </sheetView>
  </sheetViews>
  <sheetFormatPr baseColWidth="10" defaultColWidth="14.453125" defaultRowHeight="15" customHeight="1"/>
  <cols>
    <col width="10.7265625" customWidth="1" min="1" max="2"/>
    <col width="40.453125" customWidth="1" min="3" max="3"/>
    <col width="10.7265625" customWidth="1" min="4" max="26"/>
  </cols>
  <sheetData>
    <row r="1" ht="14.25" customHeight="1"/>
    <row r="2" ht="14.25" customHeight="1">
      <c r="B2" s="272" t="inlineStr">
        <is>
          <t>Cifras en pesos mexicanos (MXN)</t>
        </is>
      </c>
    </row>
    <row r="3" ht="14.25" customHeight="1">
      <c r="B3" s="39" t="inlineStr">
        <is>
          <t>#</t>
        </is>
      </c>
      <c r="C3" s="40" t="inlineStr">
        <is>
          <t>Productos</t>
        </is>
      </c>
      <c r="D3" s="41" t="inlineStr">
        <is>
          <t>Precio</t>
        </is>
      </c>
      <c r="E3" s="41" t="inlineStr">
        <is>
          <t>C/u directo</t>
        </is>
      </c>
      <c r="F3" s="42" t="inlineStr">
        <is>
          <t>CAC</t>
        </is>
      </c>
    </row>
    <row r="4" ht="14.25" customHeight="1">
      <c r="B4" s="43" t="n">
        <v>1</v>
      </c>
      <c r="C4" s="265" t="inlineStr">
        <is>
          <t>Sistema FV Microcrédito</t>
        </is>
      </c>
      <c r="D4" s="282" t="n">
        <v>112000</v>
      </c>
      <c r="E4" s="282" t="n">
        <v>74000</v>
      </c>
      <c r="F4" s="282" t="n">
        <v>6800</v>
      </c>
    </row>
    <row r="5" ht="14.25" customHeight="1">
      <c r="B5" s="47" t="n">
        <v>2</v>
      </c>
      <c r="C5" s="265" t="inlineStr">
        <is>
          <t>Sistema FV Contado</t>
        </is>
      </c>
      <c r="D5" s="282" t="n">
        <v>99000</v>
      </c>
      <c r="E5" s="282" t="n">
        <v>74000</v>
      </c>
      <c r="F5" s="282" t="n">
        <v>6800</v>
      </c>
    </row>
    <row r="6" ht="14.25" customHeight="1">
      <c r="B6" s="47" t="n">
        <v>3</v>
      </c>
      <c r="C6" s="265" t="inlineStr">
        <is>
          <t>Calentador Solar</t>
        </is>
      </c>
      <c r="D6" s="282" t="n">
        <v>13500</v>
      </c>
      <c r="E6" s="282" t="n">
        <v>7800</v>
      </c>
      <c r="F6" s="282" t="n">
        <v>1500</v>
      </c>
    </row>
    <row r="7" ht="14.25" customHeight="1">
      <c r="B7" s="47" t="n">
        <v>4</v>
      </c>
      <c r="C7" s="44" t="n"/>
      <c r="D7" s="48" t="n"/>
      <c r="E7" s="48" t="n"/>
      <c r="F7" s="49" t="n"/>
    </row>
    <row r="8" ht="14.25" customHeight="1">
      <c r="B8" s="47" t="n">
        <v>5</v>
      </c>
      <c r="C8" s="44" t="n"/>
      <c r="D8" s="48" t="n"/>
      <c r="E8" s="48" t="n"/>
      <c r="F8" s="49" t="n"/>
    </row>
    <row r="9" ht="14.25" customHeight="1">
      <c r="B9" s="47" t="n">
        <v>6</v>
      </c>
      <c r="C9" s="44" t="n"/>
      <c r="D9" s="48" t="n"/>
      <c r="E9" s="48" t="n"/>
      <c r="F9" s="49" t="n"/>
    </row>
    <row r="10" ht="14.25" customHeight="1">
      <c r="B10" s="47" t="n">
        <v>7</v>
      </c>
      <c r="C10" s="44" t="n"/>
      <c r="D10" s="48" t="n"/>
      <c r="E10" s="48" t="n"/>
      <c r="F10" s="49" t="n"/>
    </row>
    <row r="11" ht="14.25" customHeight="1">
      <c r="B11" s="47" t="n">
        <v>8</v>
      </c>
      <c r="C11" s="44" t="n"/>
      <c r="D11" s="48" t="n"/>
      <c r="E11" s="48" t="n"/>
      <c r="F11" s="49" t="n"/>
    </row>
    <row r="12" ht="14.25" customHeight="1">
      <c r="B12" s="47" t="n">
        <v>9</v>
      </c>
      <c r="C12" s="44" t="n"/>
      <c r="D12" s="48" t="n"/>
      <c r="E12" s="48" t="n"/>
      <c r="F12" s="49" t="n"/>
    </row>
    <row r="13" ht="14.25" customHeight="1">
      <c r="B13" s="50" t="n">
        <v>10</v>
      </c>
      <c r="C13" s="51" t="n"/>
      <c r="D13" s="52" t="n"/>
      <c r="E13" s="52" t="n"/>
      <c r="F13" s="53" t="n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C55A11"/>
    <outlinePr summaryBelow="1" summaryRight="1"/>
    <pageSetUpPr/>
  </sheetPr>
  <dimension ref="A2:AC67"/>
  <sheetViews>
    <sheetView showGridLines="0" topLeftCell="A44" workbookViewId="0">
      <selection activeCell="D58" sqref="D58"/>
    </sheetView>
  </sheetViews>
  <sheetFormatPr baseColWidth="10" defaultColWidth="14.453125" defaultRowHeight="15" customHeight="1"/>
  <cols>
    <col width="10.7265625" customWidth="1" min="1" max="2"/>
    <col width="25" customWidth="1" min="3" max="3"/>
    <col outlineLevel="1" width="11.453125" customWidth="1" min="4" max="15"/>
    <col width="10.7265625" customWidth="1" min="16" max="16"/>
    <col outlineLevel="1" width="11.453125" customWidth="1" min="17" max="28"/>
    <col width="11.453125" customWidth="1" min="29" max="29"/>
  </cols>
  <sheetData>
    <row r="1" ht="14.25" customHeight="1"/>
    <row r="2" ht="14.25" customHeight="1">
      <c r="B2" s="54" t="inlineStr">
        <is>
          <t>#</t>
        </is>
      </c>
      <c r="C2" s="55" t="inlineStr">
        <is>
          <t>Ventas en Unidades</t>
        </is>
      </c>
      <c r="D2" s="56" t="inlineStr">
        <is>
          <t>Mes 1</t>
        </is>
      </c>
      <c r="E2" s="55" t="inlineStr">
        <is>
          <t>Mes 2</t>
        </is>
      </c>
      <c r="F2" s="55" t="inlineStr">
        <is>
          <t>Mes 3</t>
        </is>
      </c>
      <c r="G2" s="55" t="inlineStr">
        <is>
          <t>Mes 4</t>
        </is>
      </c>
      <c r="H2" s="55" t="inlineStr">
        <is>
          <t>Mes 5</t>
        </is>
      </c>
      <c r="I2" s="55" t="inlineStr">
        <is>
          <t>Mes 6</t>
        </is>
      </c>
      <c r="J2" s="55" t="inlineStr">
        <is>
          <t>Mes 7</t>
        </is>
      </c>
      <c r="K2" s="55" t="inlineStr">
        <is>
          <t>Mes 8</t>
        </is>
      </c>
      <c r="L2" s="55" t="inlineStr">
        <is>
          <t>Mes 9</t>
        </is>
      </c>
      <c r="M2" s="55" t="inlineStr">
        <is>
          <t>Mes 10</t>
        </is>
      </c>
      <c r="N2" s="55" t="inlineStr">
        <is>
          <t>Mes 11</t>
        </is>
      </c>
      <c r="O2" s="55" t="inlineStr">
        <is>
          <t>Mes 12</t>
        </is>
      </c>
      <c r="P2" s="57" t="inlineStr">
        <is>
          <t>Total</t>
        </is>
      </c>
      <c r="Q2" s="56" t="inlineStr">
        <is>
          <t>Mes 1</t>
        </is>
      </c>
      <c r="R2" s="55" t="inlineStr">
        <is>
          <t>Mes 2</t>
        </is>
      </c>
      <c r="S2" s="55" t="inlineStr">
        <is>
          <t>Mes 3</t>
        </is>
      </c>
      <c r="T2" s="55" t="inlineStr">
        <is>
          <t>Mes 4</t>
        </is>
      </c>
      <c r="U2" s="55" t="inlineStr">
        <is>
          <t>Mes 5</t>
        </is>
      </c>
      <c r="V2" s="55" t="inlineStr">
        <is>
          <t>Mes 6</t>
        </is>
      </c>
      <c r="W2" s="55" t="inlineStr">
        <is>
          <t>Mes 7</t>
        </is>
      </c>
      <c r="X2" s="55" t="inlineStr">
        <is>
          <t>Mes 8</t>
        </is>
      </c>
      <c r="Y2" s="55" t="inlineStr">
        <is>
          <t>Mes 9</t>
        </is>
      </c>
      <c r="Z2" s="55" t="inlineStr">
        <is>
          <t>Mes 10</t>
        </is>
      </c>
      <c r="AA2" s="55" t="inlineStr">
        <is>
          <t>Mes 11</t>
        </is>
      </c>
      <c r="AB2" s="55" t="inlineStr">
        <is>
          <t>Mes 12</t>
        </is>
      </c>
      <c r="AC2" s="57" t="inlineStr">
        <is>
          <t>Total</t>
        </is>
      </c>
    </row>
    <row r="3" ht="14.25" customHeight="1">
      <c r="B3" s="58">
        <f>+'Resumen operativo'!B4</f>
        <v/>
      </c>
      <c r="C3" s="59">
        <f>+IF('Resumen operativo'!C4&lt;&gt;"",'Resumen operativo'!C4,"")</f>
        <v/>
      </c>
      <c r="D3" s="60" t="n">
        <v>1</v>
      </c>
      <c r="E3" s="60" t="n">
        <v>2</v>
      </c>
      <c r="F3" s="60" t="n">
        <v>3</v>
      </c>
      <c r="G3" s="60" t="n">
        <v>4</v>
      </c>
      <c r="H3" s="60" t="n">
        <v>5</v>
      </c>
      <c r="I3" s="60" t="n">
        <v>6</v>
      </c>
      <c r="J3" s="60" t="n">
        <v>7</v>
      </c>
      <c r="K3" s="60" t="n">
        <v>8</v>
      </c>
      <c r="L3" s="60" t="n">
        <v>9</v>
      </c>
      <c r="M3" s="60" t="n">
        <v>10</v>
      </c>
      <c r="N3" s="60" t="n">
        <v>11</v>
      </c>
      <c r="O3" s="60" t="n">
        <v>12</v>
      </c>
      <c r="P3" s="61">
        <f>SUM(D3:O3)</f>
        <v/>
      </c>
      <c r="Q3" s="62" t="n">
        <v>13</v>
      </c>
      <c r="R3" s="62" t="n">
        <v>14</v>
      </c>
      <c r="S3" s="62" t="n">
        <v>15</v>
      </c>
      <c r="T3" s="62" t="n">
        <v>16</v>
      </c>
      <c r="U3" s="62" t="n">
        <v>17</v>
      </c>
      <c r="V3" s="62" t="n">
        <v>18</v>
      </c>
      <c r="W3" s="62" t="n">
        <v>19</v>
      </c>
      <c r="X3" s="62" t="n">
        <v>20</v>
      </c>
      <c r="Y3" s="62" t="n">
        <v>21</v>
      </c>
      <c r="Z3" s="62" t="n">
        <v>22</v>
      </c>
      <c r="AA3" s="62" t="n">
        <v>23</v>
      </c>
      <c r="AB3" s="62" t="n">
        <v>24</v>
      </c>
      <c r="AC3" s="61">
        <f>SUM(Q3:AB3)</f>
        <v/>
      </c>
    </row>
    <row r="4" ht="14.25" customHeight="1">
      <c r="B4" s="47">
        <f>+'Resumen operativo'!B5</f>
        <v/>
      </c>
      <c r="C4" s="44">
        <f>+IF('Resumen operativo'!C5&lt;&gt;"",'Resumen operativo'!C5,"")</f>
        <v/>
      </c>
      <c r="D4" s="63" t="n">
        <v>0</v>
      </c>
      <c r="E4" s="63" t="n">
        <v>1</v>
      </c>
      <c r="F4" s="63" t="n">
        <v>1</v>
      </c>
      <c r="G4" s="63" t="n">
        <v>2</v>
      </c>
      <c r="H4" s="64" t="n">
        <v>2</v>
      </c>
      <c r="I4" s="64" t="n">
        <v>2</v>
      </c>
      <c r="J4" s="64" t="n">
        <v>3</v>
      </c>
      <c r="K4" s="65" t="n">
        <v>3</v>
      </c>
      <c r="L4" s="65" t="n">
        <v>3</v>
      </c>
      <c r="M4" s="65" t="n">
        <v>4</v>
      </c>
      <c r="N4" s="65" t="n">
        <v>4</v>
      </c>
      <c r="O4" s="65" t="n">
        <v>5</v>
      </c>
      <c r="P4" s="66">
        <f>SUM(D4:O4)</f>
        <v/>
      </c>
      <c r="Q4" s="67" t="n">
        <v>5</v>
      </c>
      <c r="R4" s="67" t="n">
        <v>6</v>
      </c>
      <c r="S4" s="67" t="n">
        <v>6</v>
      </c>
      <c r="T4" s="67" t="n">
        <v>7</v>
      </c>
      <c r="U4" s="67" t="n">
        <v>7</v>
      </c>
      <c r="V4" s="67" t="n">
        <v>8</v>
      </c>
      <c r="W4" s="67" t="n">
        <v>8</v>
      </c>
      <c r="X4" s="67" t="n">
        <v>9</v>
      </c>
      <c r="Y4" s="67" t="n">
        <v>9</v>
      </c>
      <c r="Z4" s="67" t="n">
        <v>10</v>
      </c>
      <c r="AA4" s="67" t="n">
        <v>10</v>
      </c>
      <c r="AB4" s="67" t="n">
        <v>11</v>
      </c>
      <c r="AC4" s="66">
        <f>SUM(Q4:AB4)</f>
        <v/>
      </c>
    </row>
    <row r="5" ht="14.25" customHeight="1">
      <c r="B5" s="47">
        <f>+'Resumen operativo'!B6</f>
        <v/>
      </c>
      <c r="C5" s="44">
        <f>+IF('Resumen operativo'!C6&lt;&gt;"",'Resumen operativo'!C6,"")</f>
        <v/>
      </c>
      <c r="D5" s="63" t="n">
        <v>2</v>
      </c>
      <c r="E5" s="63" t="n">
        <v>3</v>
      </c>
      <c r="F5" s="63" t="n">
        <v>4</v>
      </c>
      <c r="G5" s="63" t="n">
        <v>5</v>
      </c>
      <c r="H5" s="64" t="n">
        <v>6</v>
      </c>
      <c r="I5" s="64" t="n">
        <v>7</v>
      </c>
      <c r="J5" s="64" t="n">
        <v>8</v>
      </c>
      <c r="K5" s="65" t="n">
        <v>9</v>
      </c>
      <c r="L5" s="65" t="n">
        <v>10</v>
      </c>
      <c r="M5" s="65" t="n">
        <v>11</v>
      </c>
      <c r="N5" s="65" t="n">
        <v>12</v>
      </c>
      <c r="O5" s="65" t="n">
        <v>13</v>
      </c>
      <c r="P5" s="66">
        <f>SUM(D5:O5)</f>
        <v/>
      </c>
      <c r="Q5" s="67" t="n">
        <v>14</v>
      </c>
      <c r="R5" s="67" t="n">
        <v>15</v>
      </c>
      <c r="S5" s="67" t="n">
        <v>16</v>
      </c>
      <c r="T5" s="67" t="n">
        <v>17</v>
      </c>
      <c r="U5" s="67" t="n">
        <v>18</v>
      </c>
      <c r="V5" s="67" t="n">
        <v>19</v>
      </c>
      <c r="W5" s="67" t="n">
        <v>20</v>
      </c>
      <c r="X5" s="67" t="n">
        <v>21</v>
      </c>
      <c r="Y5" s="67" t="n">
        <v>22</v>
      </c>
      <c r="Z5" s="67" t="n">
        <v>23</v>
      </c>
      <c r="AA5" s="67" t="n">
        <v>24</v>
      </c>
      <c r="AB5" s="67" t="n">
        <v>25</v>
      </c>
      <c r="AC5" s="66">
        <f>SUM(Q5:AB5)</f>
        <v/>
      </c>
    </row>
    <row r="6" ht="14.25" customHeight="1">
      <c r="B6" s="47">
        <f>+'Resumen operativo'!B7</f>
        <v/>
      </c>
      <c r="C6" s="44">
        <f>+IF('Resumen operativo'!C7&lt;&gt;"",'Resumen operativo'!C7,"")</f>
        <v/>
      </c>
      <c r="D6" s="63" t="n"/>
      <c r="E6" s="63" t="n"/>
      <c r="F6" s="63" t="n"/>
      <c r="G6" s="63" t="n"/>
      <c r="H6" s="64" t="n"/>
      <c r="I6" s="64" t="n"/>
      <c r="J6" s="64" t="n"/>
      <c r="K6" s="65" t="n"/>
      <c r="L6" s="65" t="n"/>
      <c r="M6" s="65" t="n"/>
      <c r="N6" s="65" t="n"/>
      <c r="O6" s="65" t="n"/>
      <c r="P6" s="66">
        <f>SUM(D6:O6)</f>
        <v/>
      </c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  <c r="AA6" s="67" t="n"/>
      <c r="AB6" s="67" t="n"/>
      <c r="AC6" s="66">
        <f>SUM(Q6:AB6)</f>
        <v/>
      </c>
    </row>
    <row r="7" ht="14.25" customHeight="1">
      <c r="B7" s="47">
        <f>+'Resumen operativo'!B8</f>
        <v/>
      </c>
      <c r="C7" s="44">
        <f>+IF('Resumen operativo'!C8&lt;&gt;"",'Resumen operativo'!C8,"")</f>
        <v/>
      </c>
      <c r="D7" s="63" t="n"/>
      <c r="E7" s="63" t="n"/>
      <c r="F7" s="63" t="n"/>
      <c r="G7" s="63" t="n"/>
      <c r="H7" s="64" t="n"/>
      <c r="I7" s="64" t="n"/>
      <c r="J7" s="64" t="n"/>
      <c r="K7" s="65" t="n"/>
      <c r="L7" s="65" t="n"/>
      <c r="M7" s="65" t="n"/>
      <c r="N7" s="65" t="n"/>
      <c r="O7" s="65" t="n"/>
      <c r="P7" s="66">
        <f>SUM(D7:O7)</f>
        <v/>
      </c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  <c r="AA7" s="67" t="n"/>
      <c r="AB7" s="67" t="n"/>
      <c r="AC7" s="66">
        <f>SUM(Q7:AB7)</f>
        <v/>
      </c>
    </row>
    <row r="8" ht="14.25" customHeight="1">
      <c r="B8" s="47">
        <f>+'Resumen operativo'!B9</f>
        <v/>
      </c>
      <c r="C8" s="44">
        <f>+IF('Resumen operativo'!C9&lt;&gt;"",'Resumen operativo'!C9,"")</f>
        <v/>
      </c>
      <c r="D8" s="63" t="n"/>
      <c r="E8" s="63" t="n"/>
      <c r="F8" s="63" t="n"/>
      <c r="G8" s="63" t="n"/>
      <c r="H8" s="64" t="n"/>
      <c r="I8" s="64" t="n"/>
      <c r="J8" s="64" t="n"/>
      <c r="K8" s="65" t="n"/>
      <c r="L8" s="65" t="n"/>
      <c r="M8" s="65" t="n"/>
      <c r="N8" s="65" t="n"/>
      <c r="O8" s="65" t="n"/>
      <c r="P8" s="66">
        <f>SUM(D8:O8)</f>
        <v/>
      </c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  <c r="AA8" s="67" t="n"/>
      <c r="AB8" s="67" t="n"/>
      <c r="AC8" s="66">
        <f>SUM(Q8:AB8)</f>
        <v/>
      </c>
    </row>
    <row r="9" ht="14.25" customHeight="1">
      <c r="B9" s="47">
        <f>+'Resumen operativo'!B10</f>
        <v/>
      </c>
      <c r="C9" s="44">
        <f>+IF('Resumen operativo'!C10&lt;&gt;"",'Resumen operativo'!C10,"")</f>
        <v/>
      </c>
      <c r="D9" s="63" t="n"/>
      <c r="E9" s="63" t="n"/>
      <c r="F9" s="63" t="n"/>
      <c r="G9" s="63" t="n"/>
      <c r="H9" s="63" t="n"/>
      <c r="I9" s="63" t="n"/>
      <c r="J9" s="63" t="n"/>
      <c r="K9" s="68" t="n"/>
      <c r="L9" s="68" t="n"/>
      <c r="M9" s="68" t="n"/>
      <c r="N9" s="68" t="n"/>
      <c r="O9" s="68" t="n"/>
      <c r="P9" s="66">
        <f>SUM(D9:O9)</f>
        <v/>
      </c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  <c r="AB9" s="67" t="n"/>
      <c r="AC9" s="66">
        <f>SUM(Q9:AB9)</f>
        <v/>
      </c>
    </row>
    <row r="10" ht="14.25" customHeight="1">
      <c r="B10" s="47">
        <f>+'Resumen operativo'!B11</f>
        <v/>
      </c>
      <c r="C10" s="44">
        <f>+IF('Resumen operativo'!C11&lt;&gt;"",'Resumen operativo'!C11,"")</f>
        <v/>
      </c>
      <c r="D10" s="63" t="n"/>
      <c r="E10" s="63" t="n"/>
      <c r="F10" s="63" t="n"/>
      <c r="G10" s="63" t="n"/>
      <c r="H10" s="63" t="n"/>
      <c r="I10" s="63" t="n"/>
      <c r="J10" s="63" t="n"/>
      <c r="K10" s="68" t="n"/>
      <c r="L10" s="68" t="n"/>
      <c r="M10" s="68" t="n"/>
      <c r="N10" s="68" t="n"/>
      <c r="O10" s="68" t="n"/>
      <c r="P10" s="66">
        <f>SUM(D10:O10)</f>
        <v/>
      </c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67" t="n"/>
      <c r="AA10" s="67" t="n"/>
      <c r="AB10" s="67" t="n"/>
      <c r="AC10" s="66">
        <f>SUM(Q10:AB10)</f>
        <v/>
      </c>
    </row>
    <row r="11" ht="14.25" customHeight="1">
      <c r="B11" s="47">
        <f>+'Resumen operativo'!B12</f>
        <v/>
      </c>
      <c r="C11" s="44">
        <f>+IF('Resumen operativo'!C12&lt;&gt;"",'Resumen operativo'!C12,"")</f>
        <v/>
      </c>
      <c r="D11" s="63" t="n"/>
      <c r="E11" s="63" t="n"/>
      <c r="F11" s="63" t="n"/>
      <c r="G11" s="63" t="n"/>
      <c r="H11" s="63" t="n"/>
      <c r="I11" s="63" t="n"/>
      <c r="J11" s="63" t="n"/>
      <c r="K11" s="68" t="n"/>
      <c r="L11" s="68" t="n"/>
      <c r="M11" s="68" t="n"/>
      <c r="N11" s="68" t="n"/>
      <c r="O11" s="68" t="n"/>
      <c r="P11" s="66">
        <f>SUM(D11:O11)</f>
        <v/>
      </c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  <c r="AB11" s="67" t="n"/>
      <c r="AC11" s="66">
        <f>SUM(Q11:AB11)</f>
        <v/>
      </c>
    </row>
    <row r="12" ht="14.25" customHeight="1">
      <c r="B12" s="50">
        <f>+'Resumen operativo'!B13</f>
        <v/>
      </c>
      <c r="C12" s="51">
        <f>+IF('Resumen operativo'!C13&lt;&gt;"",'Resumen operativo'!C13,"")</f>
        <v/>
      </c>
      <c r="D12" s="69" t="n"/>
      <c r="E12" s="69" t="n"/>
      <c r="F12" s="69" t="n"/>
      <c r="G12" s="69" t="n"/>
      <c r="H12" s="69" t="n"/>
      <c r="I12" s="69" t="n"/>
      <c r="J12" s="69" t="n"/>
      <c r="K12" s="70" t="n"/>
      <c r="L12" s="70" t="n"/>
      <c r="M12" s="70" t="n"/>
      <c r="N12" s="70" t="n"/>
      <c r="O12" s="70" t="n"/>
      <c r="P12" s="71">
        <f>SUM(D12:O12)</f>
        <v/>
      </c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1">
        <f>SUM(Q12:AB12)</f>
        <v/>
      </c>
    </row>
    <row r="13" ht="14.25" customHeight="1">
      <c r="A13" s="73" t="n"/>
      <c r="B13" s="74" t="n"/>
      <c r="C13" s="75" t="inlineStr">
        <is>
          <t>Total</t>
        </is>
      </c>
      <c r="D13" s="76">
        <f>SUM(D3:D12)</f>
        <v/>
      </c>
      <c r="E13" s="76">
        <f>SUM(E3:E12)</f>
        <v/>
      </c>
      <c r="F13" s="76">
        <f>SUM(F3:F12)</f>
        <v/>
      </c>
      <c r="G13" s="76">
        <f>SUM(G3:G12)</f>
        <v/>
      </c>
      <c r="H13" s="76">
        <f>SUM(H3:H12)</f>
        <v/>
      </c>
      <c r="I13" s="76">
        <f>SUM(I3:I12)</f>
        <v/>
      </c>
      <c r="J13" s="76">
        <f>SUM(J3:J12)</f>
        <v/>
      </c>
      <c r="K13" s="76">
        <f>SUM(K3:K12)</f>
        <v/>
      </c>
      <c r="L13" s="76">
        <f>SUM(L3:L12)</f>
        <v/>
      </c>
      <c r="M13" s="76">
        <f>SUM(M3:M12)</f>
        <v/>
      </c>
      <c r="N13" s="76">
        <f>SUM(N3:N12)</f>
        <v/>
      </c>
      <c r="O13" s="76">
        <f>SUM(O3:O12)</f>
        <v/>
      </c>
      <c r="P13" s="77">
        <f>SUM(P3:P12)</f>
        <v/>
      </c>
      <c r="Q13" s="78">
        <f>SUM(Q3:Q12)</f>
        <v/>
      </c>
      <c r="R13" s="78">
        <f>SUM(R3:R12)</f>
        <v/>
      </c>
      <c r="S13" s="78">
        <f>SUM(S3:S12)</f>
        <v/>
      </c>
      <c r="T13" s="78">
        <f>SUM(T3:T12)</f>
        <v/>
      </c>
      <c r="U13" s="78">
        <f>SUM(U3:U12)</f>
        <v/>
      </c>
      <c r="V13" s="78">
        <f>SUM(V3:V12)</f>
        <v/>
      </c>
      <c r="W13" s="78">
        <f>SUM(W3:W12)</f>
        <v/>
      </c>
      <c r="X13" s="78">
        <f>SUM(X3:X12)</f>
        <v/>
      </c>
      <c r="Y13" s="78">
        <f>SUM(Y3:Y12)</f>
        <v/>
      </c>
      <c r="Z13" s="78">
        <f>SUM(Z3:Z12)</f>
        <v/>
      </c>
      <c r="AA13" s="78">
        <f>SUM(AA3:AA12)</f>
        <v/>
      </c>
      <c r="AB13" s="78">
        <f>SUM(AB3:AB12)</f>
        <v/>
      </c>
      <c r="AC13" s="77">
        <f>SUM(AC3:AC12)</f>
        <v/>
      </c>
    </row>
    <row r="14" ht="14.25" customHeight="1"/>
    <row r="15" ht="14.25" customHeight="1">
      <c r="B15" s="54" t="inlineStr">
        <is>
          <t>#</t>
        </is>
      </c>
      <c r="C15" s="55" t="inlineStr">
        <is>
          <t xml:space="preserve">Ventas en $ </t>
        </is>
      </c>
      <c r="D15" s="56" t="n">
        <v>1</v>
      </c>
      <c r="E15" s="56" t="n">
        <v>2</v>
      </c>
      <c r="F15" s="56" t="n">
        <v>3</v>
      </c>
      <c r="G15" s="56" t="n">
        <v>4</v>
      </c>
      <c r="H15" s="56" t="n">
        <v>5</v>
      </c>
      <c r="I15" s="56" t="n">
        <v>6</v>
      </c>
      <c r="J15" s="56" t="n">
        <v>7</v>
      </c>
      <c r="K15" s="56" t="n">
        <v>8</v>
      </c>
      <c r="L15" s="56" t="n">
        <v>9</v>
      </c>
      <c r="M15" s="56" t="n">
        <v>10</v>
      </c>
      <c r="N15" s="56" t="n">
        <v>11</v>
      </c>
      <c r="O15" s="56" t="n">
        <v>12</v>
      </c>
      <c r="P15" s="57" t="inlineStr">
        <is>
          <t>Total</t>
        </is>
      </c>
      <c r="Q15" s="56" t="n">
        <v>1</v>
      </c>
      <c r="R15" s="56" t="n">
        <v>2</v>
      </c>
      <c r="S15" s="56" t="n">
        <v>3</v>
      </c>
      <c r="T15" s="56" t="n">
        <v>4</v>
      </c>
      <c r="U15" s="56" t="n">
        <v>5</v>
      </c>
      <c r="V15" s="56" t="n">
        <v>6</v>
      </c>
      <c r="W15" s="56" t="n">
        <v>7</v>
      </c>
      <c r="X15" s="56" t="n">
        <v>8</v>
      </c>
      <c r="Y15" s="56" t="n">
        <v>9</v>
      </c>
      <c r="Z15" s="56" t="n">
        <v>10</v>
      </c>
      <c r="AA15" s="56" t="n">
        <v>11</v>
      </c>
      <c r="AB15" s="56" t="n">
        <v>12</v>
      </c>
      <c r="AC15" s="57" t="inlineStr">
        <is>
          <t>Total</t>
        </is>
      </c>
    </row>
    <row r="16" ht="14.25" customHeight="1">
      <c r="B16" s="79" t="n">
        <v>1</v>
      </c>
      <c r="C16" s="44">
        <f>+IF(C3&lt;&gt;"",C3,"")</f>
        <v/>
      </c>
      <c r="D16" s="45">
        <f>+D3*'Resumen operativo'!$D4</f>
        <v/>
      </c>
      <c r="E16" s="45">
        <f>+E3*'Resumen operativo'!$D4</f>
        <v/>
      </c>
      <c r="F16" s="45">
        <f>+F3*'Resumen operativo'!$D4</f>
        <v/>
      </c>
      <c r="G16" s="45">
        <f>+G3*'Resumen operativo'!$D4</f>
        <v/>
      </c>
      <c r="H16" s="45">
        <f>+H3*'Resumen operativo'!$D4</f>
        <v/>
      </c>
      <c r="I16" s="45">
        <f>+I3*'Resumen operativo'!$D4</f>
        <v/>
      </c>
      <c r="J16" s="45">
        <f>+J3*'Resumen operativo'!$D4</f>
        <v/>
      </c>
      <c r="K16" s="45">
        <f>+K3*'Resumen operativo'!$D4</f>
        <v/>
      </c>
      <c r="L16" s="45">
        <f>+L3*'Resumen operativo'!$D4</f>
        <v/>
      </c>
      <c r="M16" s="45">
        <f>+M3*'Resumen operativo'!$D4</f>
        <v/>
      </c>
      <c r="N16" s="45">
        <f>+N3*'Resumen operativo'!$D4</f>
        <v/>
      </c>
      <c r="O16" s="45">
        <f>+O3*'Resumen operativo'!$D4</f>
        <v/>
      </c>
      <c r="P16" s="80">
        <f>SUM(D16:O16)</f>
        <v/>
      </c>
      <c r="Q16" s="45">
        <f>+Q3*'Resumen operativo'!$D4</f>
        <v/>
      </c>
      <c r="R16" s="45">
        <f>+R3*'Resumen operativo'!$D4</f>
        <v/>
      </c>
      <c r="S16" s="45">
        <f>+S3*'Resumen operativo'!$D4</f>
        <v/>
      </c>
      <c r="T16" s="45">
        <f>+T3*'Resumen operativo'!$D4</f>
        <v/>
      </c>
      <c r="U16" s="45">
        <f>+U3*'Resumen operativo'!$D4</f>
        <v/>
      </c>
      <c r="V16" s="45">
        <f>+V3*'Resumen operativo'!$D4</f>
        <v/>
      </c>
      <c r="W16" s="45">
        <f>+W3*'Resumen operativo'!$D4</f>
        <v/>
      </c>
      <c r="X16" s="45">
        <f>+X3*'Resumen operativo'!$D4</f>
        <v/>
      </c>
      <c r="Y16" s="45">
        <f>+Y3*'Resumen operativo'!$D4</f>
        <v/>
      </c>
      <c r="Z16" s="45">
        <f>+Z3*'Resumen operativo'!$D4</f>
        <v/>
      </c>
      <c r="AA16" s="45">
        <f>+AA3*'Resumen operativo'!$D4</f>
        <v/>
      </c>
      <c r="AB16" s="45">
        <f>+AB3*'Resumen operativo'!$D4</f>
        <v/>
      </c>
      <c r="AC16" s="80">
        <f>SUM(Q16:AB16)</f>
        <v/>
      </c>
    </row>
    <row r="17" ht="14.25" customHeight="1">
      <c r="B17" s="81" t="n">
        <v>2</v>
      </c>
      <c r="C17" s="44">
        <f>+IF(C4&lt;&gt;"",C4,"")</f>
        <v/>
      </c>
      <c r="D17" s="45">
        <f>+D4*'Resumen operativo'!$D5</f>
        <v/>
      </c>
      <c r="E17" s="45">
        <f>+E4*'Resumen operativo'!$D5</f>
        <v/>
      </c>
      <c r="F17" s="45">
        <f>+F4*'Resumen operativo'!$D5</f>
        <v/>
      </c>
      <c r="G17" s="45">
        <f>+G4*'Resumen operativo'!$D5</f>
        <v/>
      </c>
      <c r="H17" s="45">
        <f>+H4*'Resumen operativo'!$D5</f>
        <v/>
      </c>
      <c r="I17" s="45">
        <f>+I4*'Resumen operativo'!$D5</f>
        <v/>
      </c>
      <c r="J17" s="45">
        <f>+J4*'Resumen operativo'!$D5</f>
        <v/>
      </c>
      <c r="K17" s="45">
        <f>+K4*'Resumen operativo'!$D5</f>
        <v/>
      </c>
      <c r="L17" s="45">
        <f>+L4*'Resumen operativo'!$D5</f>
        <v/>
      </c>
      <c r="M17" s="45">
        <f>+M4*'Resumen operativo'!$D5</f>
        <v/>
      </c>
      <c r="N17" s="45">
        <f>+N4*'Resumen operativo'!$D5</f>
        <v/>
      </c>
      <c r="O17" s="45">
        <f>+O4*'Resumen operativo'!$D5</f>
        <v/>
      </c>
      <c r="P17" s="80">
        <f>SUM(D17:O17)</f>
        <v/>
      </c>
      <c r="Q17" s="45">
        <f>+Q4*'Resumen operativo'!$D5</f>
        <v/>
      </c>
      <c r="R17" s="45">
        <f>+R4*'Resumen operativo'!$D5</f>
        <v/>
      </c>
      <c r="S17" s="45">
        <f>+S4*'Resumen operativo'!$D5</f>
        <v/>
      </c>
      <c r="T17" s="45">
        <f>+T4*'Resumen operativo'!$D5</f>
        <v/>
      </c>
      <c r="U17" s="45">
        <f>+U4*'Resumen operativo'!$D5</f>
        <v/>
      </c>
      <c r="V17" s="45">
        <f>+V4*'Resumen operativo'!$D5</f>
        <v/>
      </c>
      <c r="W17" s="45">
        <f>+W4*'Resumen operativo'!$D5</f>
        <v/>
      </c>
      <c r="X17" s="45">
        <f>+X4*'Resumen operativo'!$D5</f>
        <v/>
      </c>
      <c r="Y17" s="45">
        <f>+Y4*'Resumen operativo'!$D5</f>
        <v/>
      </c>
      <c r="Z17" s="45">
        <f>+Z4*'Resumen operativo'!$D5</f>
        <v/>
      </c>
      <c r="AA17" s="45">
        <f>+AA4*'Resumen operativo'!$D5</f>
        <v/>
      </c>
      <c r="AB17" s="45">
        <f>+AB4*'Resumen operativo'!$D5</f>
        <v/>
      </c>
      <c r="AC17" s="80">
        <f>SUM(Q17:AB17)</f>
        <v/>
      </c>
    </row>
    <row r="18" ht="14.25" customHeight="1">
      <c r="B18" s="81" t="n">
        <v>3</v>
      </c>
      <c r="C18" s="44">
        <f>+IF(C5&lt;&gt;"",C5,"")</f>
        <v/>
      </c>
      <c r="D18" s="45">
        <f>+D5*'Resumen operativo'!$D6</f>
        <v/>
      </c>
      <c r="E18" s="45">
        <f>+E5*'Resumen operativo'!$D6</f>
        <v/>
      </c>
      <c r="F18" s="45">
        <f>+F5*'Resumen operativo'!$D6</f>
        <v/>
      </c>
      <c r="G18" s="45">
        <f>+G5*'Resumen operativo'!$D6</f>
        <v/>
      </c>
      <c r="H18" s="45">
        <f>+H5*'Resumen operativo'!$D6</f>
        <v/>
      </c>
      <c r="I18" s="45">
        <f>+I5*'Resumen operativo'!$D6</f>
        <v/>
      </c>
      <c r="J18" s="45">
        <f>+J5*'Resumen operativo'!$D6</f>
        <v/>
      </c>
      <c r="K18" s="45">
        <f>+K5*'Resumen operativo'!$D6</f>
        <v/>
      </c>
      <c r="L18" s="45">
        <f>+L5*'Resumen operativo'!$D6</f>
        <v/>
      </c>
      <c r="M18" s="45">
        <f>+M5*'Resumen operativo'!$D6</f>
        <v/>
      </c>
      <c r="N18" s="45">
        <f>+N5*'Resumen operativo'!$D6</f>
        <v/>
      </c>
      <c r="O18" s="45">
        <f>+O5*'Resumen operativo'!$D6</f>
        <v/>
      </c>
      <c r="P18" s="80">
        <f>SUM(D18:O18)</f>
        <v/>
      </c>
      <c r="Q18" s="45">
        <f>+Q5*'Resumen operativo'!$D6</f>
        <v/>
      </c>
      <c r="R18" s="45">
        <f>+R5*'Resumen operativo'!$D6</f>
        <v/>
      </c>
      <c r="S18" s="45">
        <f>+S5*'Resumen operativo'!$D6</f>
        <v/>
      </c>
      <c r="T18" s="45">
        <f>+T5*'Resumen operativo'!$D6</f>
        <v/>
      </c>
      <c r="U18" s="45">
        <f>+U5*'Resumen operativo'!$D6</f>
        <v/>
      </c>
      <c r="V18" s="45">
        <f>+V5*'Resumen operativo'!$D6</f>
        <v/>
      </c>
      <c r="W18" s="45">
        <f>+W5*'Resumen operativo'!$D6</f>
        <v/>
      </c>
      <c r="X18" s="45">
        <f>+X5*'Resumen operativo'!$D6</f>
        <v/>
      </c>
      <c r="Y18" s="45">
        <f>+Y5*'Resumen operativo'!$D6</f>
        <v/>
      </c>
      <c r="Z18" s="45">
        <f>+Z5*'Resumen operativo'!$D6</f>
        <v/>
      </c>
      <c r="AA18" s="45">
        <f>+AA5*'Resumen operativo'!$D6</f>
        <v/>
      </c>
      <c r="AB18" s="45">
        <f>+AB5*'Resumen operativo'!$D6</f>
        <v/>
      </c>
      <c r="AC18" s="80">
        <f>SUM(Q18:AB18)</f>
        <v/>
      </c>
    </row>
    <row r="19" ht="14.25" customHeight="1">
      <c r="B19" s="81" t="n">
        <v>4</v>
      </c>
      <c r="C19" s="44">
        <f>+IF(C6&lt;&gt;"",C6,"")</f>
        <v/>
      </c>
      <c r="D19" s="45">
        <f>+D6*'Resumen operativo'!$D7</f>
        <v/>
      </c>
      <c r="E19" s="45">
        <f>+E6*'Resumen operativo'!$D7</f>
        <v/>
      </c>
      <c r="F19" s="45">
        <f>+F6*'Resumen operativo'!$D7</f>
        <v/>
      </c>
      <c r="G19" s="45">
        <f>+G6*'Resumen operativo'!$D7</f>
        <v/>
      </c>
      <c r="H19" s="45">
        <f>+H6*'Resumen operativo'!$D7</f>
        <v/>
      </c>
      <c r="I19" s="45">
        <f>+I6*'Resumen operativo'!$D7</f>
        <v/>
      </c>
      <c r="J19" s="45">
        <f>+J6*'Resumen operativo'!$D7</f>
        <v/>
      </c>
      <c r="K19" s="45">
        <f>+K6*'Resumen operativo'!$D7</f>
        <v/>
      </c>
      <c r="L19" s="45">
        <f>+L6*'Resumen operativo'!$D7</f>
        <v/>
      </c>
      <c r="M19" s="45">
        <f>+M6*'Resumen operativo'!$D7</f>
        <v/>
      </c>
      <c r="N19" s="45">
        <f>+N6*'Resumen operativo'!$D7</f>
        <v/>
      </c>
      <c r="O19" s="45">
        <f>+O6*'Resumen operativo'!$D7</f>
        <v/>
      </c>
      <c r="P19" s="80">
        <f>SUM(D19:O19)</f>
        <v/>
      </c>
      <c r="Q19" s="45">
        <f>+Q6*'Resumen operativo'!$D7</f>
        <v/>
      </c>
      <c r="R19" s="45">
        <f>+R6*'Resumen operativo'!$D7</f>
        <v/>
      </c>
      <c r="S19" s="45">
        <f>+S6*'Resumen operativo'!$D7</f>
        <v/>
      </c>
      <c r="T19" s="45">
        <f>+T6*'Resumen operativo'!$D7</f>
        <v/>
      </c>
      <c r="U19" s="45">
        <f>+U6*'Resumen operativo'!$D7</f>
        <v/>
      </c>
      <c r="V19" s="45">
        <f>+V6*'Resumen operativo'!$D7</f>
        <v/>
      </c>
      <c r="W19" s="45">
        <f>+W6*'Resumen operativo'!$D7</f>
        <v/>
      </c>
      <c r="X19" s="45">
        <f>+X6*'Resumen operativo'!$D7</f>
        <v/>
      </c>
      <c r="Y19" s="45">
        <f>+Y6*'Resumen operativo'!$D7</f>
        <v/>
      </c>
      <c r="Z19" s="45">
        <f>+Z6*'Resumen operativo'!$D7</f>
        <v/>
      </c>
      <c r="AA19" s="45">
        <f>+AA6*'Resumen operativo'!$D7</f>
        <v/>
      </c>
      <c r="AB19" s="45">
        <f>+AB6*'Resumen operativo'!$D7</f>
        <v/>
      </c>
      <c r="AC19" s="80">
        <f>SUM(Q19:AB19)</f>
        <v/>
      </c>
    </row>
    <row r="20" ht="14.25" customHeight="1">
      <c r="B20" s="81" t="n">
        <v>5</v>
      </c>
      <c r="C20" s="44">
        <f>+IF(C7&lt;&gt;"",C7,"")</f>
        <v/>
      </c>
      <c r="D20" s="45">
        <f>+D7*'Resumen operativo'!$D8</f>
        <v/>
      </c>
      <c r="E20" s="45">
        <f>+E7*'Resumen operativo'!$D8</f>
        <v/>
      </c>
      <c r="F20" s="45">
        <f>+F7*'Resumen operativo'!$D8</f>
        <v/>
      </c>
      <c r="G20" s="45">
        <f>+G7*'Resumen operativo'!$D8</f>
        <v/>
      </c>
      <c r="H20" s="45">
        <f>+H7*'Resumen operativo'!$D8</f>
        <v/>
      </c>
      <c r="I20" s="45">
        <f>+I7*'Resumen operativo'!$D8</f>
        <v/>
      </c>
      <c r="J20" s="45">
        <f>+J7*'Resumen operativo'!$D8</f>
        <v/>
      </c>
      <c r="K20" s="45">
        <f>+K7*'Resumen operativo'!$D8</f>
        <v/>
      </c>
      <c r="L20" s="45">
        <f>+L7*'Resumen operativo'!$D8</f>
        <v/>
      </c>
      <c r="M20" s="45">
        <f>+M7*'Resumen operativo'!$D8</f>
        <v/>
      </c>
      <c r="N20" s="45">
        <f>+N7*'Resumen operativo'!$D8</f>
        <v/>
      </c>
      <c r="O20" s="45">
        <f>+O7*'Resumen operativo'!$D8</f>
        <v/>
      </c>
      <c r="P20" s="80">
        <f>SUM(D20:O20)</f>
        <v/>
      </c>
      <c r="Q20" s="45">
        <f>+Q7*'Resumen operativo'!$D8</f>
        <v/>
      </c>
      <c r="R20" s="45">
        <f>+R7*'Resumen operativo'!$D8</f>
        <v/>
      </c>
      <c r="S20" s="45">
        <f>+S7*'Resumen operativo'!$D8</f>
        <v/>
      </c>
      <c r="T20" s="45">
        <f>+T7*'Resumen operativo'!$D8</f>
        <v/>
      </c>
      <c r="U20" s="45">
        <f>+U7*'Resumen operativo'!$D8</f>
        <v/>
      </c>
      <c r="V20" s="45">
        <f>+V7*'Resumen operativo'!$D8</f>
        <v/>
      </c>
      <c r="W20" s="45">
        <f>+W7*'Resumen operativo'!$D8</f>
        <v/>
      </c>
      <c r="X20" s="45">
        <f>+X7*'Resumen operativo'!$D8</f>
        <v/>
      </c>
      <c r="Y20" s="45">
        <f>+Y7*'Resumen operativo'!$D8</f>
        <v/>
      </c>
      <c r="Z20" s="45">
        <f>+Z7*'Resumen operativo'!$D8</f>
        <v/>
      </c>
      <c r="AA20" s="45">
        <f>+AA7*'Resumen operativo'!$D8</f>
        <v/>
      </c>
      <c r="AB20" s="45">
        <f>+AB7*'Resumen operativo'!$D8</f>
        <v/>
      </c>
      <c r="AC20" s="80">
        <f>SUM(Q20:AB20)</f>
        <v/>
      </c>
    </row>
    <row r="21" ht="14.25" customHeight="1">
      <c r="B21" s="81" t="n">
        <v>6</v>
      </c>
      <c r="C21" s="44">
        <f>+IF(C8&lt;&gt;"",C8,"")</f>
        <v/>
      </c>
      <c r="D21" s="45">
        <f>+D8*'Resumen operativo'!$D9</f>
        <v/>
      </c>
      <c r="E21" s="45">
        <f>+E8*'Resumen operativo'!$D9</f>
        <v/>
      </c>
      <c r="F21" s="45">
        <f>+F8*'Resumen operativo'!$D9</f>
        <v/>
      </c>
      <c r="G21" s="45">
        <f>+G8*'Resumen operativo'!$D9</f>
        <v/>
      </c>
      <c r="H21" s="45">
        <f>+H8*'Resumen operativo'!$D9</f>
        <v/>
      </c>
      <c r="I21" s="45">
        <f>+I8*'Resumen operativo'!$D9</f>
        <v/>
      </c>
      <c r="J21" s="45">
        <f>+J8*'Resumen operativo'!$D9</f>
        <v/>
      </c>
      <c r="K21" s="45">
        <f>+K8*'Resumen operativo'!$D9</f>
        <v/>
      </c>
      <c r="L21" s="45">
        <f>+L8*'Resumen operativo'!$D9</f>
        <v/>
      </c>
      <c r="M21" s="45">
        <f>+M8*'Resumen operativo'!$D9</f>
        <v/>
      </c>
      <c r="N21" s="45">
        <f>+N8*'Resumen operativo'!$D9</f>
        <v/>
      </c>
      <c r="O21" s="45">
        <f>+O8*'Resumen operativo'!$D9</f>
        <v/>
      </c>
      <c r="P21" s="80">
        <f>SUM(D21:O21)</f>
        <v/>
      </c>
      <c r="Q21" s="45">
        <f>+Q8*'Resumen operativo'!$D9</f>
        <v/>
      </c>
      <c r="R21" s="45">
        <f>+R8*'Resumen operativo'!$D9</f>
        <v/>
      </c>
      <c r="S21" s="45">
        <f>+S8*'Resumen operativo'!$D9</f>
        <v/>
      </c>
      <c r="T21" s="45">
        <f>+T8*'Resumen operativo'!$D9</f>
        <v/>
      </c>
      <c r="U21" s="45">
        <f>+U8*'Resumen operativo'!$D9</f>
        <v/>
      </c>
      <c r="V21" s="45">
        <f>+V8*'Resumen operativo'!$D9</f>
        <v/>
      </c>
      <c r="W21" s="45">
        <f>+W8*'Resumen operativo'!$D9</f>
        <v/>
      </c>
      <c r="X21" s="45">
        <f>+X8*'Resumen operativo'!$D9</f>
        <v/>
      </c>
      <c r="Y21" s="45">
        <f>+Y8*'Resumen operativo'!$D9</f>
        <v/>
      </c>
      <c r="Z21" s="45">
        <f>+Z8*'Resumen operativo'!$D9</f>
        <v/>
      </c>
      <c r="AA21" s="45">
        <f>+AA8*'Resumen operativo'!$D9</f>
        <v/>
      </c>
      <c r="AB21" s="45">
        <f>+AB8*'Resumen operativo'!$D9</f>
        <v/>
      </c>
      <c r="AC21" s="80">
        <f>SUM(Q21:AB21)</f>
        <v/>
      </c>
    </row>
    <row r="22" ht="14.25" customHeight="1">
      <c r="B22" s="81" t="n">
        <v>7</v>
      </c>
      <c r="C22" s="44">
        <f>+IF(C9&lt;&gt;"",C9,"")</f>
        <v/>
      </c>
      <c r="D22" s="45">
        <f>+D9*'Resumen operativo'!$D10</f>
        <v/>
      </c>
      <c r="E22" s="45">
        <f>+E9*'Resumen operativo'!$D10</f>
        <v/>
      </c>
      <c r="F22" s="45">
        <f>+F9*'Resumen operativo'!$D10</f>
        <v/>
      </c>
      <c r="G22" s="45">
        <f>+G9*'Resumen operativo'!$D10</f>
        <v/>
      </c>
      <c r="H22" s="45">
        <f>+H9*'Resumen operativo'!$D10</f>
        <v/>
      </c>
      <c r="I22" s="45">
        <f>+I9*'Resumen operativo'!$D10</f>
        <v/>
      </c>
      <c r="J22" s="45">
        <f>+J9*'Resumen operativo'!$D10</f>
        <v/>
      </c>
      <c r="K22" s="45">
        <f>+K9*'Resumen operativo'!$D10</f>
        <v/>
      </c>
      <c r="L22" s="45">
        <f>+L9*'Resumen operativo'!$D10</f>
        <v/>
      </c>
      <c r="M22" s="45">
        <f>+M9*'Resumen operativo'!$D10</f>
        <v/>
      </c>
      <c r="N22" s="45">
        <f>+N9*'Resumen operativo'!$D10</f>
        <v/>
      </c>
      <c r="O22" s="45">
        <f>+O9*'Resumen operativo'!$D10</f>
        <v/>
      </c>
      <c r="P22" s="80">
        <f>SUM(D22:O22)</f>
        <v/>
      </c>
      <c r="Q22" s="45">
        <f>+Q9*'Resumen operativo'!$D10</f>
        <v/>
      </c>
      <c r="R22" s="45">
        <f>+R9*'Resumen operativo'!$D10</f>
        <v/>
      </c>
      <c r="S22" s="45">
        <f>+S9*'Resumen operativo'!$D10</f>
        <v/>
      </c>
      <c r="T22" s="45">
        <f>+T9*'Resumen operativo'!$D10</f>
        <v/>
      </c>
      <c r="U22" s="45">
        <f>+U9*'Resumen operativo'!$D10</f>
        <v/>
      </c>
      <c r="V22" s="45">
        <f>+V9*'Resumen operativo'!$D10</f>
        <v/>
      </c>
      <c r="W22" s="45">
        <f>+W9*'Resumen operativo'!$D10</f>
        <v/>
      </c>
      <c r="X22" s="45">
        <f>+X9*'Resumen operativo'!$D10</f>
        <v/>
      </c>
      <c r="Y22" s="45">
        <f>+Y9*'Resumen operativo'!$D10</f>
        <v/>
      </c>
      <c r="Z22" s="45">
        <f>+Z9*'Resumen operativo'!$D10</f>
        <v/>
      </c>
      <c r="AA22" s="45">
        <f>+AA9*'Resumen operativo'!$D10</f>
        <v/>
      </c>
      <c r="AB22" s="45">
        <f>+AB9*'Resumen operativo'!$D10</f>
        <v/>
      </c>
      <c r="AC22" s="80">
        <f>SUM(Q22:AB22)</f>
        <v/>
      </c>
    </row>
    <row r="23" ht="14.25" customHeight="1">
      <c r="B23" s="81" t="n">
        <v>8</v>
      </c>
      <c r="C23" s="44">
        <f>+IF(C10&lt;&gt;"",C10,"")</f>
        <v/>
      </c>
      <c r="D23" s="45">
        <f>+D10*'Resumen operativo'!$D11</f>
        <v/>
      </c>
      <c r="E23" s="45">
        <f>+E10*'Resumen operativo'!$D11</f>
        <v/>
      </c>
      <c r="F23" s="45">
        <f>+F10*'Resumen operativo'!$D11</f>
        <v/>
      </c>
      <c r="G23" s="45">
        <f>+G10*'Resumen operativo'!$D11</f>
        <v/>
      </c>
      <c r="H23" s="45">
        <f>+H10*'Resumen operativo'!$D11</f>
        <v/>
      </c>
      <c r="I23" s="45">
        <f>+I10*'Resumen operativo'!$D11</f>
        <v/>
      </c>
      <c r="J23" s="45">
        <f>+J10*'Resumen operativo'!$D11</f>
        <v/>
      </c>
      <c r="K23" s="45">
        <f>+K10*'Resumen operativo'!$D11</f>
        <v/>
      </c>
      <c r="L23" s="45">
        <f>+L10*'Resumen operativo'!$D11</f>
        <v/>
      </c>
      <c r="M23" s="45">
        <f>+M10*'Resumen operativo'!$D11</f>
        <v/>
      </c>
      <c r="N23" s="45">
        <f>+N10*'Resumen operativo'!$D11</f>
        <v/>
      </c>
      <c r="O23" s="45">
        <f>+O10*'Resumen operativo'!$D11</f>
        <v/>
      </c>
      <c r="P23" s="80">
        <f>SUM(D23:O23)</f>
        <v/>
      </c>
      <c r="Q23" s="45">
        <f>+Q10*'Resumen operativo'!$D11</f>
        <v/>
      </c>
      <c r="R23" s="45">
        <f>+R10*'Resumen operativo'!$D11</f>
        <v/>
      </c>
      <c r="S23" s="45">
        <f>+S10*'Resumen operativo'!$D11</f>
        <v/>
      </c>
      <c r="T23" s="45">
        <f>+T10*'Resumen operativo'!$D11</f>
        <v/>
      </c>
      <c r="U23" s="45">
        <f>+U10*'Resumen operativo'!$D11</f>
        <v/>
      </c>
      <c r="V23" s="45">
        <f>+V10*'Resumen operativo'!$D11</f>
        <v/>
      </c>
      <c r="W23" s="45">
        <f>+W10*'Resumen operativo'!$D11</f>
        <v/>
      </c>
      <c r="X23" s="45">
        <f>+X10*'Resumen operativo'!$D11</f>
        <v/>
      </c>
      <c r="Y23" s="45">
        <f>+Y10*'Resumen operativo'!$D11</f>
        <v/>
      </c>
      <c r="Z23" s="45">
        <f>+Z10*'Resumen operativo'!$D11</f>
        <v/>
      </c>
      <c r="AA23" s="45">
        <f>+AA10*'Resumen operativo'!$D11</f>
        <v/>
      </c>
      <c r="AB23" s="45">
        <f>+AB10*'Resumen operativo'!$D11</f>
        <v/>
      </c>
      <c r="AC23" s="80">
        <f>SUM(Q23:AB23)</f>
        <v/>
      </c>
    </row>
    <row r="24" ht="14.25" customHeight="1">
      <c r="B24" s="81" t="n">
        <v>9</v>
      </c>
      <c r="C24" s="44">
        <f>+IF(C11&lt;&gt;"",C11,"")</f>
        <v/>
      </c>
      <c r="D24" s="45">
        <f>+D11*'Resumen operativo'!$D12</f>
        <v/>
      </c>
      <c r="E24" s="45">
        <f>+E11*'Resumen operativo'!$D12</f>
        <v/>
      </c>
      <c r="F24" s="45">
        <f>+F11*'Resumen operativo'!$D12</f>
        <v/>
      </c>
      <c r="G24" s="45">
        <f>+G11*'Resumen operativo'!$D12</f>
        <v/>
      </c>
      <c r="H24" s="45">
        <f>+H11*'Resumen operativo'!$D12</f>
        <v/>
      </c>
      <c r="I24" s="45">
        <f>+I11*'Resumen operativo'!$D12</f>
        <v/>
      </c>
      <c r="J24" s="45">
        <f>+J11*'Resumen operativo'!$D12</f>
        <v/>
      </c>
      <c r="K24" s="45">
        <f>+K11*'Resumen operativo'!$D12</f>
        <v/>
      </c>
      <c r="L24" s="45">
        <f>+L11*'Resumen operativo'!$D12</f>
        <v/>
      </c>
      <c r="M24" s="45">
        <f>+M11*'Resumen operativo'!$D12</f>
        <v/>
      </c>
      <c r="N24" s="45">
        <f>+N11*'Resumen operativo'!$D12</f>
        <v/>
      </c>
      <c r="O24" s="45">
        <f>+O11*'Resumen operativo'!$D12</f>
        <v/>
      </c>
      <c r="P24" s="80">
        <f>SUM(D24:O24)</f>
        <v/>
      </c>
      <c r="Q24" s="45">
        <f>+Q11*'Resumen operativo'!$D12</f>
        <v/>
      </c>
      <c r="R24" s="45">
        <f>+R11*'Resumen operativo'!$D12</f>
        <v/>
      </c>
      <c r="S24" s="45">
        <f>+S11*'Resumen operativo'!$D12</f>
        <v/>
      </c>
      <c r="T24" s="45">
        <f>+T11*'Resumen operativo'!$D12</f>
        <v/>
      </c>
      <c r="U24" s="45">
        <f>+U11*'Resumen operativo'!$D12</f>
        <v/>
      </c>
      <c r="V24" s="45">
        <f>+V11*'Resumen operativo'!$D12</f>
        <v/>
      </c>
      <c r="W24" s="45">
        <f>+W11*'Resumen operativo'!$D12</f>
        <v/>
      </c>
      <c r="X24" s="45">
        <f>+X11*'Resumen operativo'!$D12</f>
        <v/>
      </c>
      <c r="Y24" s="45">
        <f>+Y11*'Resumen operativo'!$D12</f>
        <v/>
      </c>
      <c r="Z24" s="45">
        <f>+Z11*'Resumen operativo'!$D12</f>
        <v/>
      </c>
      <c r="AA24" s="45">
        <f>+AA11*'Resumen operativo'!$D12</f>
        <v/>
      </c>
      <c r="AB24" s="45">
        <f>+AB11*'Resumen operativo'!$D12</f>
        <v/>
      </c>
      <c r="AC24" s="80">
        <f>SUM(Q24:AB24)</f>
        <v/>
      </c>
    </row>
    <row r="25" ht="14.25" customHeight="1">
      <c r="B25" s="82" t="n">
        <v>10</v>
      </c>
      <c r="C25" s="44">
        <f>+IF(C12&lt;&gt;"",C12,"")</f>
        <v/>
      </c>
      <c r="D25" s="45">
        <f>+D12*'Resumen operativo'!$D13</f>
        <v/>
      </c>
      <c r="E25" s="45">
        <f>+E12*'Resumen operativo'!$D13</f>
        <v/>
      </c>
      <c r="F25" s="45">
        <f>+F12*'Resumen operativo'!$D13</f>
        <v/>
      </c>
      <c r="G25" s="45">
        <f>+G12*'Resumen operativo'!$D13</f>
        <v/>
      </c>
      <c r="H25" s="45">
        <f>+H12*'Resumen operativo'!$D13</f>
        <v/>
      </c>
      <c r="I25" s="45">
        <f>+I12*'Resumen operativo'!$D13</f>
        <v/>
      </c>
      <c r="J25" s="45">
        <f>+J12*'Resumen operativo'!$D13</f>
        <v/>
      </c>
      <c r="K25" s="45">
        <f>+K12*'Resumen operativo'!$D13</f>
        <v/>
      </c>
      <c r="L25" s="45">
        <f>+L12*'Resumen operativo'!$D13</f>
        <v/>
      </c>
      <c r="M25" s="45">
        <f>+M12*'Resumen operativo'!$D13</f>
        <v/>
      </c>
      <c r="N25" s="45">
        <f>+N12*'Resumen operativo'!$D13</f>
        <v/>
      </c>
      <c r="O25" s="45">
        <f>+O12*'Resumen operativo'!$D13</f>
        <v/>
      </c>
      <c r="P25" s="83">
        <f>SUM(D25:O25)</f>
        <v/>
      </c>
      <c r="Q25" s="45">
        <f>+Q12*'Resumen operativo'!$D13</f>
        <v/>
      </c>
      <c r="R25" s="45">
        <f>+R12*'Resumen operativo'!$D13</f>
        <v/>
      </c>
      <c r="S25" s="45">
        <f>+S12*'Resumen operativo'!$D13</f>
        <v/>
      </c>
      <c r="T25" s="45">
        <f>+T12*'Resumen operativo'!$D13</f>
        <v/>
      </c>
      <c r="U25" s="45">
        <f>+U12*'Resumen operativo'!$D13</f>
        <v/>
      </c>
      <c r="V25" s="45">
        <f>+V12*'Resumen operativo'!$D13</f>
        <v/>
      </c>
      <c r="W25" s="45">
        <f>+W12*'Resumen operativo'!$D13</f>
        <v/>
      </c>
      <c r="X25" s="45">
        <f>+X12*'Resumen operativo'!$D13</f>
        <v/>
      </c>
      <c r="Y25" s="45">
        <f>+Y12*'Resumen operativo'!$D13</f>
        <v/>
      </c>
      <c r="Z25" s="45">
        <f>+Z12*'Resumen operativo'!$D13</f>
        <v/>
      </c>
      <c r="AA25" s="45">
        <f>+AA12*'Resumen operativo'!$D13</f>
        <v/>
      </c>
      <c r="AB25" s="45">
        <f>+AB12*'Resumen operativo'!$D13</f>
        <v/>
      </c>
      <c r="AC25" s="83">
        <f>SUM(Q25:AB25)</f>
        <v/>
      </c>
    </row>
    <row r="26" ht="14.25" customHeight="1">
      <c r="B26" s="84" t="n"/>
      <c r="C26" s="85" t="inlineStr">
        <is>
          <t>Total Ventas en Pesos</t>
        </is>
      </c>
      <c r="D26" s="86">
        <f>SUM(D16:D25)</f>
        <v/>
      </c>
      <c r="E26" s="86">
        <f>SUM(E16:E25)</f>
        <v/>
      </c>
      <c r="F26" s="86">
        <f>SUM(F16:F25)</f>
        <v/>
      </c>
      <c r="G26" s="86">
        <f>SUM(G16:G25)</f>
        <v/>
      </c>
      <c r="H26" s="86">
        <f>SUM(H16:H25)</f>
        <v/>
      </c>
      <c r="I26" s="86">
        <f>SUM(I16:I25)</f>
        <v/>
      </c>
      <c r="J26" s="86">
        <f>SUM(J16:J25)</f>
        <v/>
      </c>
      <c r="K26" s="86">
        <f>SUM(K16:K25)</f>
        <v/>
      </c>
      <c r="L26" s="86">
        <f>SUM(L16:L25)</f>
        <v/>
      </c>
      <c r="M26" s="86">
        <f>SUM(M16:M25)</f>
        <v/>
      </c>
      <c r="N26" s="86">
        <f>SUM(N16:N25)</f>
        <v/>
      </c>
      <c r="O26" s="86">
        <f>SUM(O16:O25)</f>
        <v/>
      </c>
      <c r="P26" s="87">
        <f>SUM(P16:P25)</f>
        <v/>
      </c>
      <c r="Q26" s="86">
        <f>SUM(Q16:Q25)</f>
        <v/>
      </c>
      <c r="R26" s="86">
        <f>SUM(R16:R25)</f>
        <v/>
      </c>
      <c r="S26" s="86">
        <f>SUM(S16:S25)</f>
        <v/>
      </c>
      <c r="T26" s="86">
        <f>SUM(T16:T25)</f>
        <v/>
      </c>
      <c r="U26" s="86">
        <f>SUM(U16:U25)</f>
        <v/>
      </c>
      <c r="V26" s="86">
        <f>SUM(V16:V25)</f>
        <v/>
      </c>
      <c r="W26" s="86">
        <f>SUM(W16:W25)</f>
        <v/>
      </c>
      <c r="X26" s="86">
        <f>SUM(X16:X25)</f>
        <v/>
      </c>
      <c r="Y26" s="86">
        <f>SUM(Y16:Y25)</f>
        <v/>
      </c>
      <c r="Z26" s="86">
        <f>SUM(Z16:Z25)</f>
        <v/>
      </c>
      <c r="AA26" s="86">
        <f>SUM(AA16:AA25)</f>
        <v/>
      </c>
      <c r="AB26" s="86">
        <f>SUM(AB16:AB25)</f>
        <v/>
      </c>
      <c r="AC26" s="87">
        <f>SUM(AC16:AC25)</f>
        <v/>
      </c>
    </row>
    <row r="27" ht="14.25" customHeight="1"/>
    <row r="28" ht="14.25" customHeight="1">
      <c r="B28" s="54" t="inlineStr">
        <is>
          <t>#</t>
        </is>
      </c>
      <c r="C28" s="55" t="inlineStr">
        <is>
          <t xml:space="preserve">Producción en $ </t>
        </is>
      </c>
      <c r="D28" s="56" t="n">
        <v>1</v>
      </c>
      <c r="E28" s="56" t="n">
        <v>2</v>
      </c>
      <c r="F28" s="56" t="n">
        <v>3</v>
      </c>
      <c r="G28" s="56" t="n">
        <v>4</v>
      </c>
      <c r="H28" s="56" t="n">
        <v>5</v>
      </c>
      <c r="I28" s="56" t="n">
        <v>6</v>
      </c>
      <c r="J28" s="56" t="n">
        <v>7</v>
      </c>
      <c r="K28" s="56" t="n">
        <v>8</v>
      </c>
      <c r="L28" s="56" t="n">
        <v>9</v>
      </c>
      <c r="M28" s="56" t="n">
        <v>10</v>
      </c>
      <c r="N28" s="56" t="n">
        <v>11</v>
      </c>
      <c r="O28" s="56" t="n">
        <v>12</v>
      </c>
      <c r="P28" s="57" t="inlineStr">
        <is>
          <t>Total</t>
        </is>
      </c>
      <c r="Q28" s="56" t="n">
        <v>1</v>
      </c>
      <c r="R28" s="56" t="n">
        <v>2</v>
      </c>
      <c r="S28" s="56" t="n">
        <v>3</v>
      </c>
      <c r="T28" s="56" t="n">
        <v>4</v>
      </c>
      <c r="U28" s="56" t="n">
        <v>5</v>
      </c>
      <c r="V28" s="56" t="n">
        <v>6</v>
      </c>
      <c r="W28" s="56" t="n">
        <v>7</v>
      </c>
      <c r="X28" s="56" t="n">
        <v>8</v>
      </c>
      <c r="Y28" s="56" t="n">
        <v>9</v>
      </c>
      <c r="Z28" s="56" t="n">
        <v>10</v>
      </c>
      <c r="AA28" s="56" t="n">
        <v>11</v>
      </c>
      <c r="AB28" s="56" t="n">
        <v>12</v>
      </c>
      <c r="AC28" s="57" t="inlineStr">
        <is>
          <t>Total</t>
        </is>
      </c>
    </row>
    <row r="29" ht="14.25" customHeight="1">
      <c r="B29" s="79" t="n">
        <v>1</v>
      </c>
      <c r="C29" s="88">
        <f>+C16</f>
        <v/>
      </c>
      <c r="D29" s="45">
        <f>+D3*'Resumen operativo'!$E4</f>
        <v/>
      </c>
      <c r="E29" s="45">
        <f>+E3*'Resumen operativo'!$E4</f>
        <v/>
      </c>
      <c r="F29" s="45">
        <f>+F3*'Resumen operativo'!$E4</f>
        <v/>
      </c>
      <c r="G29" s="45">
        <f>+G3*'Resumen operativo'!$E4</f>
        <v/>
      </c>
      <c r="H29" s="45">
        <f>+H3*'Resumen operativo'!$E4</f>
        <v/>
      </c>
      <c r="I29" s="45">
        <f>+I3*'Resumen operativo'!$E4</f>
        <v/>
      </c>
      <c r="J29" s="45">
        <f>+J3*'Resumen operativo'!$E4</f>
        <v/>
      </c>
      <c r="K29" s="45">
        <f>+K3*'Resumen operativo'!$E4</f>
        <v/>
      </c>
      <c r="L29" s="45">
        <f>+L3*'Resumen operativo'!$E4</f>
        <v/>
      </c>
      <c r="M29" s="45">
        <f>+M3*'Resumen operativo'!$E4</f>
        <v/>
      </c>
      <c r="N29" s="45">
        <f>+N3*'Resumen operativo'!$E4</f>
        <v/>
      </c>
      <c r="O29" s="45">
        <f>+O3*'Resumen operativo'!$E4</f>
        <v/>
      </c>
      <c r="P29" s="80">
        <f>SUM(D29:O29)</f>
        <v/>
      </c>
      <c r="Q29" s="45">
        <f>+Q3*'Resumen operativo'!$E4</f>
        <v/>
      </c>
      <c r="R29" s="45">
        <f>+R3*'Resumen operativo'!$E4</f>
        <v/>
      </c>
      <c r="S29" s="45">
        <f>+S3*'Resumen operativo'!$E4</f>
        <v/>
      </c>
      <c r="T29" s="45">
        <f>+T3*'Resumen operativo'!$E4</f>
        <v/>
      </c>
      <c r="U29" s="45">
        <f>+U3*'Resumen operativo'!$E4</f>
        <v/>
      </c>
      <c r="V29" s="45">
        <f>+V3*'Resumen operativo'!$E4</f>
        <v/>
      </c>
      <c r="W29" s="45">
        <f>+W3*'Resumen operativo'!$E4</f>
        <v/>
      </c>
      <c r="X29" s="45">
        <f>+X3*'Resumen operativo'!$E4</f>
        <v/>
      </c>
      <c r="Y29" s="45">
        <f>+Y3*'Resumen operativo'!$E4</f>
        <v/>
      </c>
      <c r="Z29" s="45">
        <f>+Z3*'Resumen operativo'!$E4</f>
        <v/>
      </c>
      <c r="AA29" s="45">
        <f>+AA3*'Resumen operativo'!$E4</f>
        <v/>
      </c>
      <c r="AB29" s="45">
        <f>+AB3*'Resumen operativo'!$E4</f>
        <v/>
      </c>
      <c r="AC29" s="80">
        <f>SUM(Q29:AB29)</f>
        <v/>
      </c>
    </row>
    <row r="30" ht="14.25" customHeight="1">
      <c r="B30" s="81" t="n">
        <v>2</v>
      </c>
      <c r="C30" s="88">
        <f>+C17</f>
        <v/>
      </c>
      <c r="D30" s="45">
        <f>+D4*'Resumen operativo'!$E5</f>
        <v/>
      </c>
      <c r="E30" s="45">
        <f>+E4*'Resumen operativo'!$E5</f>
        <v/>
      </c>
      <c r="F30" s="45">
        <f>+F4*'Resumen operativo'!$E5</f>
        <v/>
      </c>
      <c r="G30" s="45">
        <f>+G4*'Resumen operativo'!$E5</f>
        <v/>
      </c>
      <c r="H30" s="45">
        <f>+H4*'Resumen operativo'!$E5</f>
        <v/>
      </c>
      <c r="I30" s="45">
        <f>+I4*'Resumen operativo'!$E5</f>
        <v/>
      </c>
      <c r="J30" s="45">
        <f>+J4*'Resumen operativo'!$E5</f>
        <v/>
      </c>
      <c r="K30" s="45">
        <f>+K4*'Resumen operativo'!$E5</f>
        <v/>
      </c>
      <c r="L30" s="45">
        <f>+L4*'Resumen operativo'!$E5</f>
        <v/>
      </c>
      <c r="M30" s="45">
        <f>+M4*'Resumen operativo'!$E5</f>
        <v/>
      </c>
      <c r="N30" s="45">
        <f>+N4*'Resumen operativo'!$E5</f>
        <v/>
      </c>
      <c r="O30" s="45">
        <f>+O4*'Resumen operativo'!$E5</f>
        <v/>
      </c>
      <c r="P30" s="80">
        <f>SUM(D30:O30)</f>
        <v/>
      </c>
      <c r="Q30" s="45">
        <f>+Q4*'Resumen operativo'!$E5</f>
        <v/>
      </c>
      <c r="R30" s="45">
        <f>+R4*'Resumen operativo'!$E5</f>
        <v/>
      </c>
      <c r="S30" s="45">
        <f>+S4*'Resumen operativo'!$E5</f>
        <v/>
      </c>
      <c r="T30" s="45">
        <f>+T4*'Resumen operativo'!$E5</f>
        <v/>
      </c>
      <c r="U30" s="45">
        <f>+U4*'Resumen operativo'!$E5</f>
        <v/>
      </c>
      <c r="V30" s="45">
        <f>+V4*'Resumen operativo'!$E5</f>
        <v/>
      </c>
      <c r="W30" s="45">
        <f>+W4*'Resumen operativo'!$E5</f>
        <v/>
      </c>
      <c r="X30" s="45">
        <f>+X4*'Resumen operativo'!$E5</f>
        <v/>
      </c>
      <c r="Y30" s="45">
        <f>+Y4*'Resumen operativo'!$E5</f>
        <v/>
      </c>
      <c r="Z30" s="45">
        <f>+Z4*'Resumen operativo'!$E5</f>
        <v/>
      </c>
      <c r="AA30" s="45">
        <f>+AA4*'Resumen operativo'!$E5</f>
        <v/>
      </c>
      <c r="AB30" s="45">
        <f>+AB4*'Resumen operativo'!$E5</f>
        <v/>
      </c>
      <c r="AC30" s="80">
        <f>SUM(Q30:AB30)</f>
        <v/>
      </c>
    </row>
    <row r="31" ht="14.25" customHeight="1">
      <c r="B31" s="81" t="n">
        <v>3</v>
      </c>
      <c r="C31" s="88">
        <f>+C18</f>
        <v/>
      </c>
      <c r="D31" s="45">
        <f>+D5*'Resumen operativo'!$E6</f>
        <v/>
      </c>
      <c r="E31" s="45">
        <f>+E5*'Resumen operativo'!$E6</f>
        <v/>
      </c>
      <c r="F31" s="45">
        <f>+F5*'Resumen operativo'!$E6</f>
        <v/>
      </c>
      <c r="G31" s="45">
        <f>+G5*'Resumen operativo'!$E6</f>
        <v/>
      </c>
      <c r="H31" s="45">
        <f>+H5*'Resumen operativo'!$E6</f>
        <v/>
      </c>
      <c r="I31" s="45">
        <f>+I5*'Resumen operativo'!$E6</f>
        <v/>
      </c>
      <c r="J31" s="45">
        <f>+J5*'Resumen operativo'!$E6</f>
        <v/>
      </c>
      <c r="K31" s="45">
        <f>+K5*'Resumen operativo'!$E6</f>
        <v/>
      </c>
      <c r="L31" s="45">
        <f>+L5*'Resumen operativo'!$E6</f>
        <v/>
      </c>
      <c r="M31" s="45">
        <f>+M5*'Resumen operativo'!$E6</f>
        <v/>
      </c>
      <c r="N31" s="45">
        <f>+N5*'Resumen operativo'!$E6</f>
        <v/>
      </c>
      <c r="O31" s="45">
        <f>+O5*'Resumen operativo'!$E6</f>
        <v/>
      </c>
      <c r="P31" s="80">
        <f>SUM(D31:O31)</f>
        <v/>
      </c>
      <c r="Q31" s="45">
        <f>+Q5*'Resumen operativo'!$E6</f>
        <v/>
      </c>
      <c r="R31" s="45">
        <f>+R5*'Resumen operativo'!$E6</f>
        <v/>
      </c>
      <c r="S31" s="45">
        <f>+S5*'Resumen operativo'!$E6</f>
        <v/>
      </c>
      <c r="T31" s="45">
        <f>+T5*'Resumen operativo'!$E6</f>
        <v/>
      </c>
      <c r="U31" s="45">
        <f>+U5*'Resumen operativo'!$E6</f>
        <v/>
      </c>
      <c r="V31" s="45">
        <f>+V5*'Resumen operativo'!$E6</f>
        <v/>
      </c>
      <c r="W31" s="45">
        <f>+W5*'Resumen operativo'!$E6</f>
        <v/>
      </c>
      <c r="X31" s="45">
        <f>+X5*'Resumen operativo'!$E6</f>
        <v/>
      </c>
      <c r="Y31" s="45">
        <f>+Y5*'Resumen operativo'!$E6</f>
        <v/>
      </c>
      <c r="Z31" s="45">
        <f>+Z5*'Resumen operativo'!$E6</f>
        <v/>
      </c>
      <c r="AA31" s="45">
        <f>+AA5*'Resumen operativo'!$E6</f>
        <v/>
      </c>
      <c r="AB31" s="45">
        <f>+AB5*'Resumen operativo'!$E6</f>
        <v/>
      </c>
      <c r="AC31" s="80">
        <f>SUM(Q31:AB31)</f>
        <v/>
      </c>
    </row>
    <row r="32" ht="14.25" customHeight="1">
      <c r="B32" s="81" t="n">
        <v>4</v>
      </c>
      <c r="C32" s="88">
        <f>+C19</f>
        <v/>
      </c>
      <c r="D32" s="45">
        <f>+D6*'Resumen operativo'!$E7</f>
        <v/>
      </c>
      <c r="E32" s="45">
        <f>+E6*'Resumen operativo'!$E7</f>
        <v/>
      </c>
      <c r="F32" s="45">
        <f>+F6*'Resumen operativo'!$E7</f>
        <v/>
      </c>
      <c r="G32" s="45">
        <f>+G6*'Resumen operativo'!$E7</f>
        <v/>
      </c>
      <c r="H32" s="45">
        <f>+H6*'Resumen operativo'!$E7</f>
        <v/>
      </c>
      <c r="I32" s="45">
        <f>+I6*'Resumen operativo'!$E7</f>
        <v/>
      </c>
      <c r="J32" s="45">
        <f>+J6*'Resumen operativo'!$E7</f>
        <v/>
      </c>
      <c r="K32" s="45">
        <f>+K6*'Resumen operativo'!$E7</f>
        <v/>
      </c>
      <c r="L32" s="45">
        <f>+L6*'Resumen operativo'!$E7</f>
        <v/>
      </c>
      <c r="M32" s="45">
        <f>+M6*'Resumen operativo'!$E7</f>
        <v/>
      </c>
      <c r="N32" s="45">
        <f>+N6*'Resumen operativo'!$E7</f>
        <v/>
      </c>
      <c r="O32" s="45">
        <f>+O6*'Resumen operativo'!$E7</f>
        <v/>
      </c>
      <c r="P32" s="80">
        <f>SUM(D32:O32)</f>
        <v/>
      </c>
      <c r="Q32" s="45">
        <f>+Q6*'Resumen operativo'!$E7</f>
        <v/>
      </c>
      <c r="R32" s="45">
        <f>+R6*'Resumen operativo'!$E7</f>
        <v/>
      </c>
      <c r="S32" s="45">
        <f>+S6*'Resumen operativo'!$E7</f>
        <v/>
      </c>
      <c r="T32" s="45">
        <f>+T6*'Resumen operativo'!$E7</f>
        <v/>
      </c>
      <c r="U32" s="45">
        <f>+U6*'Resumen operativo'!$E7</f>
        <v/>
      </c>
      <c r="V32" s="45">
        <f>+V6*'Resumen operativo'!$E7</f>
        <v/>
      </c>
      <c r="W32" s="45">
        <f>+W6*'Resumen operativo'!$E7</f>
        <v/>
      </c>
      <c r="X32" s="45">
        <f>+X6*'Resumen operativo'!$E7</f>
        <v/>
      </c>
      <c r="Y32" s="45">
        <f>+Y6*'Resumen operativo'!$E7</f>
        <v/>
      </c>
      <c r="Z32" s="45">
        <f>+Z6*'Resumen operativo'!$E7</f>
        <v/>
      </c>
      <c r="AA32" s="45">
        <f>+AA6*'Resumen operativo'!$E7</f>
        <v/>
      </c>
      <c r="AB32" s="45">
        <f>+AB6*'Resumen operativo'!$E7</f>
        <v/>
      </c>
      <c r="AC32" s="80">
        <f>SUM(Q32:AB32)</f>
        <v/>
      </c>
    </row>
    <row r="33" ht="14.25" customHeight="1">
      <c r="B33" s="81" t="n">
        <v>5</v>
      </c>
      <c r="C33" s="88">
        <f>+C20</f>
        <v/>
      </c>
      <c r="D33" s="45">
        <f>+D7*'Resumen operativo'!$E8</f>
        <v/>
      </c>
      <c r="E33" s="45">
        <f>+E7*'Resumen operativo'!$E8</f>
        <v/>
      </c>
      <c r="F33" s="45">
        <f>+F7*'Resumen operativo'!$E8</f>
        <v/>
      </c>
      <c r="G33" s="45">
        <f>+G7*'Resumen operativo'!$E8</f>
        <v/>
      </c>
      <c r="H33" s="45">
        <f>+H7*'Resumen operativo'!$E8</f>
        <v/>
      </c>
      <c r="I33" s="45">
        <f>+I7*'Resumen operativo'!$E8</f>
        <v/>
      </c>
      <c r="J33" s="45">
        <f>+J7*'Resumen operativo'!$E8</f>
        <v/>
      </c>
      <c r="K33" s="45">
        <f>+K7*'Resumen operativo'!$E8</f>
        <v/>
      </c>
      <c r="L33" s="45">
        <f>+L7*'Resumen operativo'!$E8</f>
        <v/>
      </c>
      <c r="M33" s="45">
        <f>+M7*'Resumen operativo'!$E8</f>
        <v/>
      </c>
      <c r="N33" s="45">
        <f>+N7*'Resumen operativo'!$E8</f>
        <v/>
      </c>
      <c r="O33" s="45">
        <f>+O7*'Resumen operativo'!$E8</f>
        <v/>
      </c>
      <c r="P33" s="80">
        <f>SUM(D33:O33)</f>
        <v/>
      </c>
      <c r="Q33" s="45">
        <f>+Q7*'Resumen operativo'!$E8</f>
        <v/>
      </c>
      <c r="R33" s="45">
        <f>+R7*'Resumen operativo'!$E8</f>
        <v/>
      </c>
      <c r="S33" s="45">
        <f>+S7*'Resumen operativo'!$E8</f>
        <v/>
      </c>
      <c r="T33" s="45">
        <f>+T7*'Resumen operativo'!$E8</f>
        <v/>
      </c>
      <c r="U33" s="45">
        <f>+U7*'Resumen operativo'!$E8</f>
        <v/>
      </c>
      <c r="V33" s="45">
        <f>+V7*'Resumen operativo'!$E8</f>
        <v/>
      </c>
      <c r="W33" s="45">
        <f>+W7*'Resumen operativo'!$E8</f>
        <v/>
      </c>
      <c r="X33" s="45">
        <f>+X7*'Resumen operativo'!$E8</f>
        <v/>
      </c>
      <c r="Y33" s="45">
        <f>+Y7*'Resumen operativo'!$E8</f>
        <v/>
      </c>
      <c r="Z33" s="45">
        <f>+Z7*'Resumen operativo'!$E8</f>
        <v/>
      </c>
      <c r="AA33" s="45">
        <f>+AA7*'Resumen operativo'!$E8</f>
        <v/>
      </c>
      <c r="AB33" s="45">
        <f>+AB7*'Resumen operativo'!$E8</f>
        <v/>
      </c>
      <c r="AC33" s="80">
        <f>SUM(Q33:AB33)</f>
        <v/>
      </c>
    </row>
    <row r="34" ht="14.25" customHeight="1">
      <c r="B34" s="81" t="n">
        <v>6</v>
      </c>
      <c r="C34" s="88">
        <f>+C21</f>
        <v/>
      </c>
      <c r="D34" s="45">
        <f>+D8*'Resumen operativo'!$E9</f>
        <v/>
      </c>
      <c r="E34" s="45">
        <f>+E8*'Resumen operativo'!$E9</f>
        <v/>
      </c>
      <c r="F34" s="45">
        <f>+F8*'Resumen operativo'!$E9</f>
        <v/>
      </c>
      <c r="G34" s="45">
        <f>+G8*'Resumen operativo'!$E9</f>
        <v/>
      </c>
      <c r="H34" s="45">
        <f>+H8*'Resumen operativo'!$E9</f>
        <v/>
      </c>
      <c r="I34" s="45">
        <f>+I8*'Resumen operativo'!$E9</f>
        <v/>
      </c>
      <c r="J34" s="45">
        <f>+J8*'Resumen operativo'!$E9</f>
        <v/>
      </c>
      <c r="K34" s="45">
        <f>+K8*'Resumen operativo'!$E9</f>
        <v/>
      </c>
      <c r="L34" s="45">
        <f>+L8*'Resumen operativo'!$E9</f>
        <v/>
      </c>
      <c r="M34" s="45">
        <f>+M8*'Resumen operativo'!$E9</f>
        <v/>
      </c>
      <c r="N34" s="45">
        <f>+N8*'Resumen operativo'!$E9</f>
        <v/>
      </c>
      <c r="O34" s="45">
        <f>+O8*'Resumen operativo'!$E9</f>
        <v/>
      </c>
      <c r="P34" s="80">
        <f>SUM(D34:O34)</f>
        <v/>
      </c>
      <c r="Q34" s="45">
        <f>+Q8*'Resumen operativo'!$E9</f>
        <v/>
      </c>
      <c r="R34" s="45">
        <f>+R8*'Resumen operativo'!$E9</f>
        <v/>
      </c>
      <c r="S34" s="45">
        <f>+S8*'Resumen operativo'!$E9</f>
        <v/>
      </c>
      <c r="T34" s="45">
        <f>+T8*'Resumen operativo'!$E9</f>
        <v/>
      </c>
      <c r="U34" s="45">
        <f>+U8*'Resumen operativo'!$E9</f>
        <v/>
      </c>
      <c r="V34" s="45">
        <f>+V8*'Resumen operativo'!$E9</f>
        <v/>
      </c>
      <c r="W34" s="45">
        <f>+W8*'Resumen operativo'!$E9</f>
        <v/>
      </c>
      <c r="X34" s="45">
        <f>+X8*'Resumen operativo'!$E9</f>
        <v/>
      </c>
      <c r="Y34" s="45">
        <f>+Y8*'Resumen operativo'!$E9</f>
        <v/>
      </c>
      <c r="Z34" s="45">
        <f>+Z8*'Resumen operativo'!$E9</f>
        <v/>
      </c>
      <c r="AA34" s="45">
        <f>+AA8*'Resumen operativo'!$E9</f>
        <v/>
      </c>
      <c r="AB34" s="45">
        <f>+AB8*'Resumen operativo'!$E9</f>
        <v/>
      </c>
      <c r="AC34" s="80">
        <f>SUM(Q34:AB34)</f>
        <v/>
      </c>
    </row>
    <row r="35" ht="14.25" customHeight="1">
      <c r="B35" s="81" t="n">
        <v>7</v>
      </c>
      <c r="C35" s="88">
        <f>+C22</f>
        <v/>
      </c>
      <c r="D35" s="45">
        <f>+D9*'Resumen operativo'!$E10</f>
        <v/>
      </c>
      <c r="E35" s="45">
        <f>+E9*'Resumen operativo'!$E10</f>
        <v/>
      </c>
      <c r="F35" s="45">
        <f>+F9*'Resumen operativo'!$E10</f>
        <v/>
      </c>
      <c r="G35" s="45">
        <f>+G9*'Resumen operativo'!$E10</f>
        <v/>
      </c>
      <c r="H35" s="45">
        <f>+H9*'Resumen operativo'!$E10</f>
        <v/>
      </c>
      <c r="I35" s="45">
        <f>+I9*'Resumen operativo'!$E10</f>
        <v/>
      </c>
      <c r="J35" s="45">
        <f>+J9*'Resumen operativo'!$E10</f>
        <v/>
      </c>
      <c r="K35" s="45">
        <f>+K9*'Resumen operativo'!$E10</f>
        <v/>
      </c>
      <c r="L35" s="45">
        <f>+L9*'Resumen operativo'!$E10</f>
        <v/>
      </c>
      <c r="M35" s="45">
        <f>+M9*'Resumen operativo'!$E10</f>
        <v/>
      </c>
      <c r="N35" s="45">
        <f>+N9*'Resumen operativo'!$E10</f>
        <v/>
      </c>
      <c r="O35" s="45">
        <f>+O9*'Resumen operativo'!$E10</f>
        <v/>
      </c>
      <c r="P35" s="80">
        <f>SUM(D35:O35)</f>
        <v/>
      </c>
      <c r="Q35" s="45">
        <f>+Q9*'Resumen operativo'!$E10</f>
        <v/>
      </c>
      <c r="R35" s="45">
        <f>+R9*'Resumen operativo'!$E10</f>
        <v/>
      </c>
      <c r="S35" s="45">
        <f>+S9*'Resumen operativo'!$E10</f>
        <v/>
      </c>
      <c r="T35" s="45">
        <f>+T9*'Resumen operativo'!$E10</f>
        <v/>
      </c>
      <c r="U35" s="45">
        <f>+U9*'Resumen operativo'!$E10</f>
        <v/>
      </c>
      <c r="V35" s="45">
        <f>+V9*'Resumen operativo'!$E10</f>
        <v/>
      </c>
      <c r="W35" s="45">
        <f>+W9*'Resumen operativo'!$E10</f>
        <v/>
      </c>
      <c r="X35" s="45">
        <f>+X9*'Resumen operativo'!$E10</f>
        <v/>
      </c>
      <c r="Y35" s="45">
        <f>+Y9*'Resumen operativo'!$E10</f>
        <v/>
      </c>
      <c r="Z35" s="45">
        <f>+Z9*'Resumen operativo'!$E10</f>
        <v/>
      </c>
      <c r="AA35" s="45">
        <f>+AA9*'Resumen operativo'!$E10</f>
        <v/>
      </c>
      <c r="AB35" s="45">
        <f>+AB9*'Resumen operativo'!$E10</f>
        <v/>
      </c>
      <c r="AC35" s="80">
        <f>SUM(Q35:AB35)</f>
        <v/>
      </c>
    </row>
    <row r="36" ht="14.25" customHeight="1">
      <c r="B36" s="81" t="n">
        <v>8</v>
      </c>
      <c r="C36" s="88">
        <f>+C23</f>
        <v/>
      </c>
      <c r="D36" s="45">
        <f>+D10*'Resumen operativo'!$E11</f>
        <v/>
      </c>
      <c r="E36" s="45">
        <f>+E10*'Resumen operativo'!$E11</f>
        <v/>
      </c>
      <c r="F36" s="45">
        <f>+F10*'Resumen operativo'!$E11</f>
        <v/>
      </c>
      <c r="G36" s="45">
        <f>+G10*'Resumen operativo'!$E11</f>
        <v/>
      </c>
      <c r="H36" s="45">
        <f>+H10*'Resumen operativo'!$E11</f>
        <v/>
      </c>
      <c r="I36" s="45">
        <f>+I10*'Resumen operativo'!$E11</f>
        <v/>
      </c>
      <c r="J36" s="45">
        <f>+J10*'Resumen operativo'!$E11</f>
        <v/>
      </c>
      <c r="K36" s="45">
        <f>+K10*'Resumen operativo'!$E11</f>
        <v/>
      </c>
      <c r="L36" s="45">
        <f>+L10*'Resumen operativo'!$E11</f>
        <v/>
      </c>
      <c r="M36" s="45">
        <f>+M10*'Resumen operativo'!$E11</f>
        <v/>
      </c>
      <c r="N36" s="45">
        <f>+N10*'Resumen operativo'!$E11</f>
        <v/>
      </c>
      <c r="O36" s="45">
        <f>+O10*'Resumen operativo'!$E11</f>
        <v/>
      </c>
      <c r="P36" s="80">
        <f>SUM(D36:O36)</f>
        <v/>
      </c>
      <c r="Q36" s="45">
        <f>+Q10*'Resumen operativo'!$E11</f>
        <v/>
      </c>
      <c r="R36" s="45">
        <f>+R10*'Resumen operativo'!$E11</f>
        <v/>
      </c>
      <c r="S36" s="45">
        <f>+S10*'Resumen operativo'!$E11</f>
        <v/>
      </c>
      <c r="T36" s="45">
        <f>+T10*'Resumen operativo'!$E11</f>
        <v/>
      </c>
      <c r="U36" s="45">
        <f>+U10*'Resumen operativo'!$E11</f>
        <v/>
      </c>
      <c r="V36" s="45">
        <f>+V10*'Resumen operativo'!$E11</f>
        <v/>
      </c>
      <c r="W36" s="45">
        <f>+W10*'Resumen operativo'!$E11</f>
        <v/>
      </c>
      <c r="X36" s="45">
        <f>+X10*'Resumen operativo'!$E11</f>
        <v/>
      </c>
      <c r="Y36" s="45">
        <f>+Y10*'Resumen operativo'!$E11</f>
        <v/>
      </c>
      <c r="Z36" s="45">
        <f>+Z10*'Resumen operativo'!$E11</f>
        <v/>
      </c>
      <c r="AA36" s="45">
        <f>+AA10*'Resumen operativo'!$E11</f>
        <v/>
      </c>
      <c r="AB36" s="45">
        <f>+AB10*'Resumen operativo'!$E11</f>
        <v/>
      </c>
      <c r="AC36" s="80">
        <f>SUM(Q36:AB36)</f>
        <v/>
      </c>
    </row>
    <row r="37" ht="14.25" customHeight="1">
      <c r="B37" s="81" t="n">
        <v>9</v>
      </c>
      <c r="C37" s="88">
        <f>+C24</f>
        <v/>
      </c>
      <c r="D37" s="45">
        <f>+D11*'Resumen operativo'!$E12</f>
        <v/>
      </c>
      <c r="E37" s="45">
        <f>+E11*'Resumen operativo'!$E12</f>
        <v/>
      </c>
      <c r="F37" s="45">
        <f>+F11*'Resumen operativo'!$E12</f>
        <v/>
      </c>
      <c r="G37" s="45">
        <f>+G11*'Resumen operativo'!$E12</f>
        <v/>
      </c>
      <c r="H37" s="45">
        <f>+H11*'Resumen operativo'!$E12</f>
        <v/>
      </c>
      <c r="I37" s="45">
        <f>+I11*'Resumen operativo'!$E12</f>
        <v/>
      </c>
      <c r="J37" s="45">
        <f>+J11*'Resumen operativo'!$E12</f>
        <v/>
      </c>
      <c r="K37" s="45">
        <f>+K11*'Resumen operativo'!$E12</f>
        <v/>
      </c>
      <c r="L37" s="45">
        <f>+L11*'Resumen operativo'!$E12</f>
        <v/>
      </c>
      <c r="M37" s="45">
        <f>+M11*'Resumen operativo'!$E12</f>
        <v/>
      </c>
      <c r="N37" s="45">
        <f>+N11*'Resumen operativo'!$E12</f>
        <v/>
      </c>
      <c r="O37" s="45">
        <f>+O11*'Resumen operativo'!$E12</f>
        <v/>
      </c>
      <c r="P37" s="80">
        <f>SUM(D37:O37)</f>
        <v/>
      </c>
      <c r="Q37" s="45">
        <f>+Q11*'Resumen operativo'!$E12</f>
        <v/>
      </c>
      <c r="R37" s="45">
        <f>+R11*'Resumen operativo'!$E12</f>
        <v/>
      </c>
      <c r="S37" s="45">
        <f>+S11*'Resumen operativo'!$E12</f>
        <v/>
      </c>
      <c r="T37" s="45">
        <f>+T11*'Resumen operativo'!$E12</f>
        <v/>
      </c>
      <c r="U37" s="45">
        <f>+U11*'Resumen operativo'!$E12</f>
        <v/>
      </c>
      <c r="V37" s="45">
        <f>+V11*'Resumen operativo'!$E12</f>
        <v/>
      </c>
      <c r="W37" s="45">
        <f>+W11*'Resumen operativo'!$E12</f>
        <v/>
      </c>
      <c r="X37" s="45">
        <f>+X11*'Resumen operativo'!$E12</f>
        <v/>
      </c>
      <c r="Y37" s="45">
        <f>+Y11*'Resumen operativo'!$E12</f>
        <v/>
      </c>
      <c r="Z37" s="45">
        <f>+Z11*'Resumen operativo'!$E12</f>
        <v/>
      </c>
      <c r="AA37" s="45">
        <f>+AA11*'Resumen operativo'!$E12</f>
        <v/>
      </c>
      <c r="AB37" s="45">
        <f>+AB11*'Resumen operativo'!$E12</f>
        <v/>
      </c>
      <c r="AC37" s="80">
        <f>SUM(Q37:AB37)</f>
        <v/>
      </c>
    </row>
    <row r="38" ht="14.25" customHeight="1">
      <c r="B38" s="82" t="n">
        <v>10</v>
      </c>
      <c r="C38" s="88">
        <f>+C25</f>
        <v/>
      </c>
      <c r="D38" s="45">
        <f>+D12*'Resumen operativo'!$E13</f>
        <v/>
      </c>
      <c r="E38" s="45">
        <f>+E12*'Resumen operativo'!$E13</f>
        <v/>
      </c>
      <c r="F38" s="45">
        <f>+F12*'Resumen operativo'!$E13</f>
        <v/>
      </c>
      <c r="G38" s="45">
        <f>+G12*'Resumen operativo'!$E13</f>
        <v/>
      </c>
      <c r="H38" s="45">
        <f>+H12*'Resumen operativo'!$E13</f>
        <v/>
      </c>
      <c r="I38" s="45">
        <f>+I12*'Resumen operativo'!$E13</f>
        <v/>
      </c>
      <c r="J38" s="45">
        <f>+J12*'Resumen operativo'!$E13</f>
        <v/>
      </c>
      <c r="K38" s="45">
        <f>+K12*'Resumen operativo'!$E13</f>
        <v/>
      </c>
      <c r="L38" s="45">
        <f>+L12*'Resumen operativo'!$E13</f>
        <v/>
      </c>
      <c r="M38" s="45">
        <f>+M12*'Resumen operativo'!$E13</f>
        <v/>
      </c>
      <c r="N38" s="45">
        <f>+N12*'Resumen operativo'!$E13</f>
        <v/>
      </c>
      <c r="O38" s="45">
        <f>+O12*'Resumen operativo'!$E13</f>
        <v/>
      </c>
      <c r="P38" s="83">
        <f>SUM(D38:O38)</f>
        <v/>
      </c>
      <c r="Q38" s="45">
        <f>+Q12*'Resumen operativo'!$E13</f>
        <v/>
      </c>
      <c r="R38" s="45">
        <f>+R12*'Resumen operativo'!$E13</f>
        <v/>
      </c>
      <c r="S38" s="45">
        <f>+S12*'Resumen operativo'!$E13</f>
        <v/>
      </c>
      <c r="T38" s="45">
        <f>+T12*'Resumen operativo'!$E13</f>
        <v/>
      </c>
      <c r="U38" s="45">
        <f>+U12*'Resumen operativo'!$E13</f>
        <v/>
      </c>
      <c r="V38" s="45">
        <f>+V12*'Resumen operativo'!$E13</f>
        <v/>
      </c>
      <c r="W38" s="45">
        <f>+W12*'Resumen operativo'!$E13</f>
        <v/>
      </c>
      <c r="X38" s="45">
        <f>+X12*'Resumen operativo'!$E13</f>
        <v/>
      </c>
      <c r="Y38" s="45">
        <f>+Y12*'Resumen operativo'!$E13</f>
        <v/>
      </c>
      <c r="Z38" s="45">
        <f>+Z12*'Resumen operativo'!$E13</f>
        <v/>
      </c>
      <c r="AA38" s="45">
        <f>+AA12*'Resumen operativo'!$E13</f>
        <v/>
      </c>
      <c r="AB38" s="45">
        <f>+AB12*'Resumen operativo'!$E13</f>
        <v/>
      </c>
      <c r="AC38" s="83">
        <f>SUM(Q38:AB38)</f>
        <v/>
      </c>
    </row>
    <row r="39" ht="14.25" customHeight="1">
      <c r="B39" s="84" t="n"/>
      <c r="C39" s="85" t="inlineStr">
        <is>
          <t xml:space="preserve">Total de costos de M.P. </t>
        </is>
      </c>
      <c r="D39" s="89">
        <f>SUM(D29:D38)</f>
        <v/>
      </c>
      <c r="E39" s="89">
        <f>SUM(E29:E38)</f>
        <v/>
      </c>
      <c r="F39" s="89">
        <f>SUM(F29:F38)</f>
        <v/>
      </c>
      <c r="G39" s="89">
        <f>SUM(G29:G38)</f>
        <v/>
      </c>
      <c r="H39" s="89">
        <f>SUM(H29:H38)</f>
        <v/>
      </c>
      <c r="I39" s="89">
        <f>SUM(I29:I38)</f>
        <v/>
      </c>
      <c r="J39" s="89">
        <f>SUM(J29:J38)</f>
        <v/>
      </c>
      <c r="K39" s="89">
        <f>SUM(K29:K38)</f>
        <v/>
      </c>
      <c r="L39" s="89">
        <f>SUM(L29:L38)</f>
        <v/>
      </c>
      <c r="M39" s="89">
        <f>SUM(M29:M38)</f>
        <v/>
      </c>
      <c r="N39" s="89">
        <f>SUM(N29:N38)</f>
        <v/>
      </c>
      <c r="O39" s="89">
        <f>SUM(O29:O38)</f>
        <v/>
      </c>
      <c r="P39" s="90">
        <f>SUM(P29:P38)</f>
        <v/>
      </c>
      <c r="Q39" s="89">
        <f>SUM(Q29:Q38)</f>
        <v/>
      </c>
      <c r="R39" s="89">
        <f>SUM(R29:R38)</f>
        <v/>
      </c>
      <c r="S39" s="89">
        <f>SUM(S29:S38)</f>
        <v/>
      </c>
      <c r="T39" s="89">
        <f>SUM(T29:T38)</f>
        <v/>
      </c>
      <c r="U39" s="89">
        <f>SUM(U29:U38)</f>
        <v/>
      </c>
      <c r="V39" s="89">
        <f>SUM(V29:V38)</f>
        <v/>
      </c>
      <c r="W39" s="89">
        <f>SUM(W29:W38)</f>
        <v/>
      </c>
      <c r="X39" s="89">
        <f>SUM(X29:X38)</f>
        <v/>
      </c>
      <c r="Y39" s="89">
        <f>SUM(Y29:Y38)</f>
        <v/>
      </c>
      <c r="Z39" s="89">
        <f>SUM(Z29:Z38)</f>
        <v/>
      </c>
      <c r="AA39" s="89">
        <f>SUM(AA29:AA38)</f>
        <v/>
      </c>
      <c r="AB39" s="89">
        <f>SUM(AB29:AB38)</f>
        <v/>
      </c>
      <c r="AC39" s="90">
        <f>SUM(AC29:AC38)</f>
        <v/>
      </c>
    </row>
    <row r="40" ht="14.25" customHeight="1"/>
    <row r="41" ht="14.25" customHeight="1"/>
    <row r="42" ht="14.25" customHeight="1">
      <c r="B42" s="91" t="inlineStr">
        <is>
          <t>#</t>
        </is>
      </c>
      <c r="C42" s="92" t="inlineStr">
        <is>
          <t>Clientes nuevos</t>
        </is>
      </c>
      <c r="D42" s="93" t="inlineStr">
        <is>
          <t>Mes 1</t>
        </is>
      </c>
      <c r="E42" s="92" t="inlineStr">
        <is>
          <t>Mes 2</t>
        </is>
      </c>
      <c r="F42" s="92" t="inlineStr">
        <is>
          <t>Mes 3</t>
        </is>
      </c>
      <c r="G42" s="92" t="inlineStr">
        <is>
          <t>Mes 4</t>
        </is>
      </c>
      <c r="H42" s="92" t="inlineStr">
        <is>
          <t>Mes 5</t>
        </is>
      </c>
      <c r="I42" s="92" t="inlineStr">
        <is>
          <t>Mes 6</t>
        </is>
      </c>
      <c r="J42" s="92" t="inlineStr">
        <is>
          <t>Mes 7</t>
        </is>
      </c>
      <c r="K42" s="92" t="inlineStr">
        <is>
          <t>Mes 8</t>
        </is>
      </c>
      <c r="L42" s="92" t="inlineStr">
        <is>
          <t>Mes 9</t>
        </is>
      </c>
      <c r="M42" s="92" t="inlineStr">
        <is>
          <t>Mes 10</t>
        </is>
      </c>
      <c r="N42" s="92" t="inlineStr">
        <is>
          <t>Mes 11</t>
        </is>
      </c>
      <c r="O42" s="92" t="inlineStr">
        <is>
          <t>Mes 12</t>
        </is>
      </c>
      <c r="P42" s="94" t="inlineStr">
        <is>
          <t>Total</t>
        </is>
      </c>
      <c r="Q42" s="93" t="inlineStr">
        <is>
          <t>Mes 1</t>
        </is>
      </c>
      <c r="R42" s="92" t="inlineStr">
        <is>
          <t>Mes 2</t>
        </is>
      </c>
      <c r="S42" s="92" t="inlineStr">
        <is>
          <t>Mes 3</t>
        </is>
      </c>
      <c r="T42" s="92" t="inlineStr">
        <is>
          <t>Mes 4</t>
        </is>
      </c>
      <c r="U42" s="92" t="inlineStr">
        <is>
          <t>Mes 5</t>
        </is>
      </c>
      <c r="V42" s="92" t="inlineStr">
        <is>
          <t>Mes 6</t>
        </is>
      </c>
      <c r="W42" s="92" t="inlineStr">
        <is>
          <t>Mes 7</t>
        </is>
      </c>
      <c r="X42" s="92" t="inlineStr">
        <is>
          <t>Mes 8</t>
        </is>
      </c>
      <c r="Y42" s="92" t="inlineStr">
        <is>
          <t>Mes 9</t>
        </is>
      </c>
      <c r="Z42" s="92" t="inlineStr">
        <is>
          <t>Mes 10</t>
        </is>
      </c>
      <c r="AA42" s="92" t="inlineStr">
        <is>
          <t>Mes 11</t>
        </is>
      </c>
      <c r="AB42" s="92" t="inlineStr">
        <is>
          <t>Mes 12</t>
        </is>
      </c>
      <c r="AC42" s="94" t="inlineStr">
        <is>
          <t>Total</t>
        </is>
      </c>
    </row>
    <row r="43" ht="14.25" customHeight="1">
      <c r="B43" s="95" t="n">
        <v>1</v>
      </c>
      <c r="C43" s="96">
        <f>+IF('Resumen operativo'!C4&lt;&gt;"",'Resumen operativo'!C4,"")</f>
        <v/>
      </c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7">
        <f>+O43</f>
        <v/>
      </c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  <c r="AA43" s="96" t="n"/>
      <c r="AB43" s="96" t="n"/>
      <c r="AC43" s="97">
        <f>+AB43</f>
        <v/>
      </c>
    </row>
    <row r="44" ht="14.25" customHeight="1">
      <c r="B44" s="98" t="n">
        <v>2</v>
      </c>
      <c r="C44" s="65">
        <f>+IF('Resumen operativo'!C5&lt;&gt;"",'Resumen operativo'!C5,"")</f>
        <v/>
      </c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99">
        <f>+O44</f>
        <v/>
      </c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  <c r="AA44" s="68" t="n"/>
      <c r="AB44" s="68" t="n"/>
      <c r="AC44" s="99">
        <f>+AB44</f>
        <v/>
      </c>
    </row>
    <row r="45" ht="14.25" customHeight="1">
      <c r="B45" s="98" t="n">
        <v>3</v>
      </c>
      <c r="C45" s="65">
        <f>+IF('Resumen operativo'!C6&lt;&gt;"",'Resumen operativo'!C6,"")</f>
        <v/>
      </c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99">
        <f>+O45</f>
        <v/>
      </c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  <c r="AA45" s="68" t="n"/>
      <c r="AB45" s="68" t="n"/>
      <c r="AC45" s="99">
        <f>+AB45</f>
        <v/>
      </c>
    </row>
    <row r="46" ht="14.25" customHeight="1">
      <c r="B46" s="98" t="n">
        <v>4</v>
      </c>
      <c r="C46" s="65">
        <f>+IF('Resumen operativo'!C7&lt;&gt;"",'Resumen operativo'!C7,"")</f>
        <v/>
      </c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68" t="n"/>
      <c r="P46" s="99">
        <f>+O46</f>
        <v/>
      </c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s="68" t="n"/>
      <c r="AB46" s="68" t="n"/>
      <c r="AC46" s="99">
        <f>+AB46</f>
        <v/>
      </c>
    </row>
    <row r="47" ht="14.25" customHeight="1">
      <c r="B47" s="98" t="n">
        <v>5</v>
      </c>
      <c r="C47" s="65">
        <f>+IF('Resumen operativo'!C8&lt;&gt;"",'Resumen operativo'!C8,"")</f>
        <v/>
      </c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68" t="n"/>
      <c r="P47" s="99">
        <f>+O47</f>
        <v/>
      </c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  <c r="AA47" s="68" t="n"/>
      <c r="AB47" s="68" t="n"/>
      <c r="AC47" s="99">
        <f>+AB47</f>
        <v/>
      </c>
    </row>
    <row r="48" ht="14.25" customHeight="1">
      <c r="B48" s="98" t="n">
        <v>6</v>
      </c>
      <c r="C48" s="65">
        <f>+IF('Resumen operativo'!C9&lt;&gt;"",'Resumen operativo'!C9,"")</f>
        <v/>
      </c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99">
        <f>+O48</f>
        <v/>
      </c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  <c r="AA48" s="68" t="n"/>
      <c r="AB48" s="68" t="n"/>
      <c r="AC48" s="99">
        <f>+AB48</f>
        <v/>
      </c>
    </row>
    <row r="49" ht="14.25" customHeight="1">
      <c r="B49" s="98" t="n">
        <v>7</v>
      </c>
      <c r="C49" s="65">
        <f>+IF('Resumen operativo'!C10&lt;&gt;"",'Resumen operativo'!C10,"")</f>
        <v/>
      </c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99">
        <f>+O49</f>
        <v/>
      </c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s="68" t="n"/>
      <c r="AB49" s="68" t="n"/>
      <c r="AC49" s="99">
        <f>+AB49</f>
        <v/>
      </c>
    </row>
    <row r="50" ht="14.25" customHeight="1">
      <c r="B50" s="98" t="n">
        <v>8</v>
      </c>
      <c r="C50" s="65">
        <f>+IF('Resumen operativo'!C11&lt;&gt;"",'Resumen operativo'!C11,"")</f>
        <v/>
      </c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99">
        <f>+O50</f>
        <v/>
      </c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99">
        <f>+AB50</f>
        <v/>
      </c>
    </row>
    <row r="51" ht="14.25" customHeight="1">
      <c r="B51" s="98" t="n">
        <v>9</v>
      </c>
      <c r="C51" s="65">
        <f>+IF('Resumen operativo'!C12&lt;&gt;"",'Resumen operativo'!C12,"")</f>
        <v/>
      </c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99">
        <f>+O51</f>
        <v/>
      </c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99">
        <f>+AB51</f>
        <v/>
      </c>
    </row>
    <row r="52" ht="14.25" customHeight="1">
      <c r="B52" s="100" t="n">
        <v>10</v>
      </c>
      <c r="C52" s="101">
        <f>+IF('Resumen operativo'!C13&lt;&gt;"",'Resumen operativo'!C13,"")</f>
        <v/>
      </c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70" t="n"/>
      <c r="N52" s="70" t="n"/>
      <c r="O52" s="70" t="n"/>
      <c r="P52" s="102">
        <f>+O52</f>
        <v/>
      </c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102">
        <f>+AB52</f>
        <v/>
      </c>
    </row>
    <row r="53" ht="14.25" customHeight="1">
      <c r="B53" s="74" t="n"/>
      <c r="C53" s="75" t="inlineStr">
        <is>
          <t>Todel de nuevos clientes</t>
        </is>
      </c>
      <c r="D53" s="76">
        <f>SUM(D43:D52)</f>
        <v/>
      </c>
      <c r="E53" s="76">
        <f>SUM(E43:E52)</f>
        <v/>
      </c>
      <c r="F53" s="76">
        <f>SUM(F43:F52)</f>
        <v/>
      </c>
      <c r="G53" s="76">
        <f>SUM(G43:G52)</f>
        <v/>
      </c>
      <c r="H53" s="76">
        <f>SUM(H43:H52)</f>
        <v/>
      </c>
      <c r="I53" s="76">
        <f>SUM(I43:I52)</f>
        <v/>
      </c>
      <c r="J53" s="76">
        <f>SUM(J43:J52)</f>
        <v/>
      </c>
      <c r="K53" s="76">
        <f>SUM(K43:K52)</f>
        <v/>
      </c>
      <c r="L53" s="76">
        <f>SUM(L43:L52)</f>
        <v/>
      </c>
      <c r="M53" s="76">
        <f>SUM(M43:M52)</f>
        <v/>
      </c>
      <c r="N53" s="76">
        <f>SUM(N43:N52)</f>
        <v/>
      </c>
      <c r="O53" s="76">
        <f>SUM(O43:O52)</f>
        <v/>
      </c>
      <c r="P53" s="103">
        <f>SUM(P43:P52)</f>
        <v/>
      </c>
      <c r="Q53" s="76">
        <f>SUM(Q43:Q52)</f>
        <v/>
      </c>
      <c r="R53" s="76">
        <f>SUM(R43:R52)</f>
        <v/>
      </c>
      <c r="S53" s="76">
        <f>SUM(S43:S52)</f>
        <v/>
      </c>
      <c r="T53" s="76">
        <f>SUM(T43:T52)</f>
        <v/>
      </c>
      <c r="U53" s="76">
        <f>SUM(U43:U52)</f>
        <v/>
      </c>
      <c r="V53" s="76">
        <f>SUM(V43:V52)</f>
        <v/>
      </c>
      <c r="W53" s="76">
        <f>SUM(W43:W52)</f>
        <v/>
      </c>
      <c r="X53" s="76">
        <f>SUM(X43:X52)</f>
        <v/>
      </c>
      <c r="Y53" s="76">
        <f>SUM(Y43:Y52)</f>
        <v/>
      </c>
      <c r="Z53" s="76">
        <f>SUM(Z43:Z52)</f>
        <v/>
      </c>
      <c r="AA53" s="76">
        <f>SUM(AA43:AA52)</f>
        <v/>
      </c>
      <c r="AB53" s="76">
        <f>SUM(AB43:AB52)</f>
        <v/>
      </c>
      <c r="AC53" s="103">
        <f>SUM(AC43:AC52)</f>
        <v/>
      </c>
    </row>
    <row r="54" ht="14.25" customHeight="1"/>
    <row r="55" ht="14.25" customHeight="1"/>
    <row r="56" ht="14.25" customHeight="1">
      <c r="B56" s="91" t="inlineStr">
        <is>
          <t>#</t>
        </is>
      </c>
      <c r="C56" s="92" t="inlineStr">
        <is>
          <t>Costo de adquisición</t>
        </is>
      </c>
      <c r="D56" s="93" t="inlineStr">
        <is>
          <t>Mes 1</t>
        </is>
      </c>
      <c r="E56" s="92" t="inlineStr">
        <is>
          <t>Mes 2</t>
        </is>
      </c>
      <c r="F56" s="92" t="inlineStr">
        <is>
          <t>Mes 3</t>
        </is>
      </c>
      <c r="G56" s="92" t="inlineStr">
        <is>
          <t>Mes 4</t>
        </is>
      </c>
      <c r="H56" s="92" t="inlineStr">
        <is>
          <t>Mes 5</t>
        </is>
      </c>
      <c r="I56" s="92" t="inlineStr">
        <is>
          <t>Mes 6</t>
        </is>
      </c>
      <c r="J56" s="92" t="inlineStr">
        <is>
          <t>Mes 7</t>
        </is>
      </c>
      <c r="K56" s="92" t="inlineStr">
        <is>
          <t>Mes 8</t>
        </is>
      </c>
      <c r="L56" s="92" t="inlineStr">
        <is>
          <t>Mes 9</t>
        </is>
      </c>
      <c r="M56" s="92" t="inlineStr">
        <is>
          <t>Mes 10</t>
        </is>
      </c>
      <c r="N56" s="92" t="inlineStr">
        <is>
          <t>Mes 11</t>
        </is>
      </c>
      <c r="O56" s="92" t="inlineStr">
        <is>
          <t>Mes 12</t>
        </is>
      </c>
      <c r="P56" s="94" t="inlineStr">
        <is>
          <t>Total</t>
        </is>
      </c>
      <c r="Q56" s="93" t="inlineStr">
        <is>
          <t>Mes 1</t>
        </is>
      </c>
      <c r="R56" s="92" t="inlineStr">
        <is>
          <t>Mes 2</t>
        </is>
      </c>
      <c r="S56" s="92" t="inlineStr">
        <is>
          <t>Mes 3</t>
        </is>
      </c>
      <c r="T56" s="92" t="inlineStr">
        <is>
          <t>Mes 4</t>
        </is>
      </c>
      <c r="U56" s="92" t="inlineStr">
        <is>
          <t>Mes 5</t>
        </is>
      </c>
      <c r="V56" s="92" t="inlineStr">
        <is>
          <t>Mes 6</t>
        </is>
      </c>
      <c r="W56" s="92" t="inlineStr">
        <is>
          <t>Mes 7</t>
        </is>
      </c>
      <c r="X56" s="92" t="inlineStr">
        <is>
          <t>Mes 8</t>
        </is>
      </c>
      <c r="Y56" s="92" t="inlineStr">
        <is>
          <t>Mes 9</t>
        </is>
      </c>
      <c r="Z56" s="92" t="inlineStr">
        <is>
          <t>Mes 10</t>
        </is>
      </c>
      <c r="AA56" s="92" t="inlineStr">
        <is>
          <t>Mes 11</t>
        </is>
      </c>
      <c r="AB56" s="92" t="inlineStr">
        <is>
          <t>Mes 12</t>
        </is>
      </c>
      <c r="AC56" s="94" t="inlineStr">
        <is>
          <t>Total</t>
        </is>
      </c>
    </row>
    <row r="57" ht="14.25" customHeight="1">
      <c r="B57" s="104" t="n">
        <v>1</v>
      </c>
      <c r="C57" s="96">
        <f>+C43</f>
        <v/>
      </c>
      <c r="D57" s="96">
        <f>+D43*'Resumen operativo'!$F4</f>
        <v/>
      </c>
      <c r="E57" s="96">
        <f>+E43*'Resumen operativo'!$F4</f>
        <v/>
      </c>
      <c r="F57" s="96">
        <f>+F43*'Resumen operativo'!$F4</f>
        <v/>
      </c>
      <c r="G57" s="96">
        <f>+G43*'Resumen operativo'!$F4</f>
        <v/>
      </c>
      <c r="H57" s="96">
        <f>+H43*'Resumen operativo'!$F4</f>
        <v/>
      </c>
      <c r="I57" s="96">
        <f>+I43*'Resumen operativo'!$F4</f>
        <v/>
      </c>
      <c r="J57" s="96">
        <f>+J43*'Resumen operativo'!$F4</f>
        <v/>
      </c>
      <c r="K57" s="96">
        <f>+K43*'Resumen operativo'!$F4</f>
        <v/>
      </c>
      <c r="L57" s="96">
        <f>+L43*'Resumen operativo'!$F4</f>
        <v/>
      </c>
      <c r="M57" s="96">
        <f>+M43*'Resumen operativo'!$F4</f>
        <v/>
      </c>
      <c r="N57" s="96">
        <f>+N43*'Resumen operativo'!$F4</f>
        <v/>
      </c>
      <c r="O57" s="96">
        <f>+O43*'Resumen operativo'!$F4</f>
        <v/>
      </c>
      <c r="P57" s="97">
        <f>+O57</f>
        <v/>
      </c>
      <c r="Q57" s="96">
        <f>+Q43*'Resumen operativo'!$F4</f>
        <v/>
      </c>
      <c r="R57" s="96">
        <f>+R43*'Resumen operativo'!$F4</f>
        <v/>
      </c>
      <c r="S57" s="96">
        <f>+S43*'Resumen operativo'!$F4</f>
        <v/>
      </c>
      <c r="T57" s="96">
        <f>+T43*'Resumen operativo'!$F4</f>
        <v/>
      </c>
      <c r="U57" s="96">
        <f>+U43*'Resumen operativo'!$F4</f>
        <v/>
      </c>
      <c r="V57" s="96">
        <f>+V43*'Resumen operativo'!$F4</f>
        <v/>
      </c>
      <c r="W57" s="96">
        <f>+W43*'Resumen operativo'!$F4</f>
        <v/>
      </c>
      <c r="X57" s="96">
        <f>+X43*'Resumen operativo'!$F4</f>
        <v/>
      </c>
      <c r="Y57" s="96">
        <f>+Y43*'Resumen operativo'!$F4</f>
        <v/>
      </c>
      <c r="Z57" s="96">
        <f>+Z43*'Resumen operativo'!$F4</f>
        <v/>
      </c>
      <c r="AA57" s="96">
        <f>+AA43*'Resumen operativo'!$F4</f>
        <v/>
      </c>
      <c r="AB57" s="96">
        <f>+AB43*'Resumen operativo'!$F4</f>
        <v/>
      </c>
      <c r="AC57" s="97">
        <f>+AB57</f>
        <v/>
      </c>
    </row>
    <row r="58" ht="14.25" customHeight="1">
      <c r="B58" s="105" t="n">
        <v>2</v>
      </c>
      <c r="C58" s="65">
        <f>+C44</f>
        <v/>
      </c>
      <c r="D58" s="68">
        <f>+D44*'Resumen operativo'!$F5</f>
        <v/>
      </c>
      <c r="E58" s="68">
        <f>+E44*'Resumen operativo'!$F5</f>
        <v/>
      </c>
      <c r="F58" s="68">
        <f>+F44*'Resumen operativo'!$F5</f>
        <v/>
      </c>
      <c r="G58" s="68">
        <f>+G44*'Resumen operativo'!$F5</f>
        <v/>
      </c>
      <c r="H58" s="68">
        <f>+H44*'Resumen operativo'!$F5</f>
        <v/>
      </c>
      <c r="I58" s="68">
        <f>+I44*'Resumen operativo'!$F5</f>
        <v/>
      </c>
      <c r="J58" s="68">
        <f>+J44*'Resumen operativo'!$F5</f>
        <v/>
      </c>
      <c r="K58" s="68">
        <f>+K44*'Resumen operativo'!$F5</f>
        <v/>
      </c>
      <c r="L58" s="68">
        <f>+L44*'Resumen operativo'!$F5</f>
        <v/>
      </c>
      <c r="M58" s="68">
        <f>+M44*'Resumen operativo'!$F5</f>
        <v/>
      </c>
      <c r="N58" s="68">
        <f>+N44*'Resumen operativo'!$F5</f>
        <v/>
      </c>
      <c r="O58" s="68">
        <f>+O44*'Resumen operativo'!$F5</f>
        <v/>
      </c>
      <c r="P58" s="99">
        <f>+O58</f>
        <v/>
      </c>
      <c r="Q58" s="68">
        <f>+Q44*'Resumen operativo'!$F5</f>
        <v/>
      </c>
      <c r="R58" s="68">
        <f>+R44*'Resumen operativo'!$F5</f>
        <v/>
      </c>
      <c r="S58" s="68">
        <f>+S44*'Resumen operativo'!$F5</f>
        <v/>
      </c>
      <c r="T58" s="68">
        <f>+T44*'Resumen operativo'!$F5</f>
        <v/>
      </c>
      <c r="U58" s="68">
        <f>+U44*'Resumen operativo'!$F5</f>
        <v/>
      </c>
      <c r="V58" s="68">
        <f>+V44*'Resumen operativo'!$F5</f>
        <v/>
      </c>
      <c r="W58" s="68">
        <f>+W44*'Resumen operativo'!$F5</f>
        <v/>
      </c>
      <c r="X58" s="68">
        <f>+X44*'Resumen operativo'!$F5</f>
        <v/>
      </c>
      <c r="Y58" s="68">
        <f>+Y44*'Resumen operativo'!$F5</f>
        <v/>
      </c>
      <c r="Z58" s="68">
        <f>+Z44*'Resumen operativo'!$F5</f>
        <v/>
      </c>
      <c r="AA58" s="68">
        <f>+AA44*'Resumen operativo'!$F5</f>
        <v/>
      </c>
      <c r="AB58" s="68">
        <f>+AB44*'Resumen operativo'!$F5</f>
        <v/>
      </c>
      <c r="AC58" s="99">
        <f>+AB58</f>
        <v/>
      </c>
    </row>
    <row r="59" ht="14.25" customHeight="1">
      <c r="B59" s="105" t="n">
        <v>3</v>
      </c>
      <c r="C59" s="65">
        <f>+C45</f>
        <v/>
      </c>
      <c r="D59" s="68">
        <f>+D45*'Resumen operativo'!$F6</f>
        <v/>
      </c>
      <c r="E59" s="68">
        <f>+E45*'Resumen operativo'!$F6</f>
        <v/>
      </c>
      <c r="F59" s="68">
        <f>+F45*'Resumen operativo'!$F6</f>
        <v/>
      </c>
      <c r="G59" s="68">
        <f>+G45*'Resumen operativo'!$F6</f>
        <v/>
      </c>
      <c r="H59" s="68">
        <f>+H45*'Resumen operativo'!$F6</f>
        <v/>
      </c>
      <c r="I59" s="68">
        <f>+I45*'Resumen operativo'!$F6</f>
        <v/>
      </c>
      <c r="J59" s="68">
        <f>+J45*'Resumen operativo'!$F6</f>
        <v/>
      </c>
      <c r="K59" s="68">
        <f>+K45*'Resumen operativo'!$F6</f>
        <v/>
      </c>
      <c r="L59" s="68">
        <f>+L45*'Resumen operativo'!$F6</f>
        <v/>
      </c>
      <c r="M59" s="68">
        <f>+M45*'Resumen operativo'!$F6</f>
        <v/>
      </c>
      <c r="N59" s="68">
        <f>+N45*'Resumen operativo'!$F6</f>
        <v/>
      </c>
      <c r="O59" s="68">
        <f>+O45*'Resumen operativo'!$F6</f>
        <v/>
      </c>
      <c r="P59" s="99">
        <f>+O59</f>
        <v/>
      </c>
      <c r="Q59" s="68">
        <f>+Q45*'Resumen operativo'!$F6</f>
        <v/>
      </c>
      <c r="R59" s="68">
        <f>+R45*'Resumen operativo'!$F6</f>
        <v/>
      </c>
      <c r="S59" s="68">
        <f>+S45*'Resumen operativo'!$F6</f>
        <v/>
      </c>
      <c r="T59" s="68">
        <f>+T45*'Resumen operativo'!$F6</f>
        <v/>
      </c>
      <c r="U59" s="68">
        <f>+U45*'Resumen operativo'!$F6</f>
        <v/>
      </c>
      <c r="V59" s="68">
        <f>+V45*'Resumen operativo'!$F6</f>
        <v/>
      </c>
      <c r="W59" s="68">
        <f>+W45*'Resumen operativo'!$F6</f>
        <v/>
      </c>
      <c r="X59" s="68">
        <f>+X45*'Resumen operativo'!$F6</f>
        <v/>
      </c>
      <c r="Y59" s="68">
        <f>+Y45*'Resumen operativo'!$F6</f>
        <v/>
      </c>
      <c r="Z59" s="68">
        <f>+Z45*'Resumen operativo'!$F6</f>
        <v/>
      </c>
      <c r="AA59" s="68">
        <f>+AA45*'Resumen operativo'!$F6</f>
        <v/>
      </c>
      <c r="AB59" s="68">
        <f>+AB45*'Resumen operativo'!$F6</f>
        <v/>
      </c>
      <c r="AC59" s="99">
        <f>+AB59</f>
        <v/>
      </c>
    </row>
    <row r="60" ht="14.25" customHeight="1">
      <c r="B60" s="105" t="n">
        <v>4</v>
      </c>
      <c r="C60" s="65">
        <f>+C46</f>
        <v/>
      </c>
      <c r="D60" s="68">
        <f>+D46*'Resumen operativo'!$F7</f>
        <v/>
      </c>
      <c r="E60" s="68">
        <f>+E46*'Resumen operativo'!$F7</f>
        <v/>
      </c>
      <c r="F60" s="68">
        <f>+F46*'Resumen operativo'!$F7</f>
        <v/>
      </c>
      <c r="G60" s="68">
        <f>+G46*'Resumen operativo'!$F7</f>
        <v/>
      </c>
      <c r="H60" s="68">
        <f>+H46*'Resumen operativo'!$F7</f>
        <v/>
      </c>
      <c r="I60" s="68">
        <f>+I46*'Resumen operativo'!$F7</f>
        <v/>
      </c>
      <c r="J60" s="68">
        <f>+J46*'Resumen operativo'!$F7</f>
        <v/>
      </c>
      <c r="K60" s="68">
        <f>+K46*'Resumen operativo'!$F7</f>
        <v/>
      </c>
      <c r="L60" s="68">
        <f>+L46*'Resumen operativo'!$F7</f>
        <v/>
      </c>
      <c r="M60" s="68">
        <f>+M46*'Resumen operativo'!$F7</f>
        <v/>
      </c>
      <c r="N60" s="68">
        <f>+N46*'Resumen operativo'!$F7</f>
        <v/>
      </c>
      <c r="O60" s="68">
        <f>+O46*'Resumen operativo'!$F7</f>
        <v/>
      </c>
      <c r="P60" s="99">
        <f>+O60</f>
        <v/>
      </c>
      <c r="Q60" s="68">
        <f>+Q46*'Resumen operativo'!$F7</f>
        <v/>
      </c>
      <c r="R60" s="68">
        <f>+R46*'Resumen operativo'!$F7</f>
        <v/>
      </c>
      <c r="S60" s="68">
        <f>+S46*'Resumen operativo'!$F7</f>
        <v/>
      </c>
      <c r="T60" s="68">
        <f>+T46*'Resumen operativo'!$F7</f>
        <v/>
      </c>
      <c r="U60" s="68">
        <f>+U46*'Resumen operativo'!$F7</f>
        <v/>
      </c>
      <c r="V60" s="68">
        <f>+V46*'Resumen operativo'!$F7</f>
        <v/>
      </c>
      <c r="W60" s="68">
        <f>+W46*'Resumen operativo'!$F7</f>
        <v/>
      </c>
      <c r="X60" s="68">
        <f>+X46*'Resumen operativo'!$F7</f>
        <v/>
      </c>
      <c r="Y60" s="68">
        <f>+Y46*'Resumen operativo'!$F7</f>
        <v/>
      </c>
      <c r="Z60" s="68">
        <f>+Z46*'Resumen operativo'!$F7</f>
        <v/>
      </c>
      <c r="AA60" s="68">
        <f>+AA46*'Resumen operativo'!$F7</f>
        <v/>
      </c>
      <c r="AB60" s="68">
        <f>+AB46*'Resumen operativo'!$F7</f>
        <v/>
      </c>
      <c r="AC60" s="99">
        <f>+AB60</f>
        <v/>
      </c>
    </row>
    <row r="61" ht="14.25" customHeight="1">
      <c r="B61" s="105" t="n">
        <v>5</v>
      </c>
      <c r="C61" s="65">
        <f>+C47</f>
        <v/>
      </c>
      <c r="D61" s="68">
        <f>+D47*'Resumen operativo'!$F8</f>
        <v/>
      </c>
      <c r="E61" s="68">
        <f>+E47*'Resumen operativo'!$F8</f>
        <v/>
      </c>
      <c r="F61" s="68">
        <f>+F47*'Resumen operativo'!$F8</f>
        <v/>
      </c>
      <c r="G61" s="68">
        <f>+G47*'Resumen operativo'!$F8</f>
        <v/>
      </c>
      <c r="H61" s="68">
        <f>+H47*'Resumen operativo'!$F8</f>
        <v/>
      </c>
      <c r="I61" s="68">
        <f>+I47*'Resumen operativo'!$F8</f>
        <v/>
      </c>
      <c r="J61" s="68">
        <f>+J47*'Resumen operativo'!$F8</f>
        <v/>
      </c>
      <c r="K61" s="68">
        <f>+K47*'Resumen operativo'!$F8</f>
        <v/>
      </c>
      <c r="L61" s="68">
        <f>+L47*'Resumen operativo'!$F8</f>
        <v/>
      </c>
      <c r="M61" s="68">
        <f>+M47*'Resumen operativo'!$F8</f>
        <v/>
      </c>
      <c r="N61" s="68">
        <f>+N47*'Resumen operativo'!$F8</f>
        <v/>
      </c>
      <c r="O61" s="68">
        <f>+O47*'Resumen operativo'!$F8</f>
        <v/>
      </c>
      <c r="P61" s="99">
        <f>+O61</f>
        <v/>
      </c>
      <c r="Q61" s="68">
        <f>+Q47*'Resumen operativo'!$F8</f>
        <v/>
      </c>
      <c r="R61" s="68">
        <f>+R47*'Resumen operativo'!$F8</f>
        <v/>
      </c>
      <c r="S61" s="68">
        <f>+S47*'Resumen operativo'!$F8</f>
        <v/>
      </c>
      <c r="T61" s="68">
        <f>+T47*'Resumen operativo'!$F8</f>
        <v/>
      </c>
      <c r="U61" s="68">
        <f>+U47*'Resumen operativo'!$F8</f>
        <v/>
      </c>
      <c r="V61" s="68">
        <f>+V47*'Resumen operativo'!$F8</f>
        <v/>
      </c>
      <c r="W61" s="68">
        <f>+W47*'Resumen operativo'!$F8</f>
        <v/>
      </c>
      <c r="X61" s="68">
        <f>+X47*'Resumen operativo'!$F8</f>
        <v/>
      </c>
      <c r="Y61" s="68">
        <f>+Y47*'Resumen operativo'!$F8</f>
        <v/>
      </c>
      <c r="Z61" s="68">
        <f>+Z47*'Resumen operativo'!$F8</f>
        <v/>
      </c>
      <c r="AA61" s="68">
        <f>+AA47*'Resumen operativo'!$F8</f>
        <v/>
      </c>
      <c r="AB61" s="68">
        <f>+AB47*'Resumen operativo'!$F8</f>
        <v/>
      </c>
      <c r="AC61" s="99">
        <f>+AB61</f>
        <v/>
      </c>
    </row>
    <row r="62" ht="14.25" customHeight="1">
      <c r="B62" s="105" t="n">
        <v>6</v>
      </c>
      <c r="C62" s="65">
        <f>+C48</f>
        <v/>
      </c>
      <c r="D62" s="68">
        <f>+D48*'Resumen operativo'!$F9</f>
        <v/>
      </c>
      <c r="E62" s="68">
        <f>+E48*'Resumen operativo'!$F9</f>
        <v/>
      </c>
      <c r="F62" s="68">
        <f>+F48*'Resumen operativo'!$F9</f>
        <v/>
      </c>
      <c r="G62" s="68">
        <f>+G48*'Resumen operativo'!$F9</f>
        <v/>
      </c>
      <c r="H62" s="68">
        <f>+H48*'Resumen operativo'!$F9</f>
        <v/>
      </c>
      <c r="I62" s="68">
        <f>+I48*'Resumen operativo'!$F9</f>
        <v/>
      </c>
      <c r="J62" s="68">
        <f>+J48*'Resumen operativo'!$F9</f>
        <v/>
      </c>
      <c r="K62" s="68">
        <f>+K48*'Resumen operativo'!$F9</f>
        <v/>
      </c>
      <c r="L62" s="68">
        <f>+L48*'Resumen operativo'!$F9</f>
        <v/>
      </c>
      <c r="M62" s="68">
        <f>+M48*'Resumen operativo'!$F9</f>
        <v/>
      </c>
      <c r="N62" s="68">
        <f>+N48*'Resumen operativo'!$F9</f>
        <v/>
      </c>
      <c r="O62" s="68">
        <f>+O48*'Resumen operativo'!$F9</f>
        <v/>
      </c>
      <c r="P62" s="99">
        <f>+O62</f>
        <v/>
      </c>
      <c r="Q62" s="68">
        <f>+Q48*'Resumen operativo'!$F9</f>
        <v/>
      </c>
      <c r="R62" s="68">
        <f>+R48*'Resumen operativo'!$F9</f>
        <v/>
      </c>
      <c r="S62" s="68">
        <f>+S48*'Resumen operativo'!$F9</f>
        <v/>
      </c>
      <c r="T62" s="68">
        <f>+T48*'Resumen operativo'!$F9</f>
        <v/>
      </c>
      <c r="U62" s="68">
        <f>+U48*'Resumen operativo'!$F9</f>
        <v/>
      </c>
      <c r="V62" s="68">
        <f>+V48*'Resumen operativo'!$F9</f>
        <v/>
      </c>
      <c r="W62" s="68">
        <f>+W48*'Resumen operativo'!$F9</f>
        <v/>
      </c>
      <c r="X62" s="68">
        <f>+X48*'Resumen operativo'!$F9</f>
        <v/>
      </c>
      <c r="Y62" s="68">
        <f>+Y48*'Resumen operativo'!$F9</f>
        <v/>
      </c>
      <c r="Z62" s="68">
        <f>+Z48*'Resumen operativo'!$F9</f>
        <v/>
      </c>
      <c r="AA62" s="68">
        <f>+AA48*'Resumen operativo'!$F9</f>
        <v/>
      </c>
      <c r="AB62" s="68">
        <f>+AB48*'Resumen operativo'!$F9</f>
        <v/>
      </c>
      <c r="AC62" s="99">
        <f>+AB62</f>
        <v/>
      </c>
    </row>
    <row r="63" ht="14.25" customHeight="1">
      <c r="B63" s="105" t="n">
        <v>7</v>
      </c>
      <c r="C63" s="65">
        <f>+C49</f>
        <v/>
      </c>
      <c r="D63" s="68">
        <f>+D49*'Resumen operativo'!$F10</f>
        <v/>
      </c>
      <c r="E63" s="68">
        <f>+E49*'Resumen operativo'!$F10</f>
        <v/>
      </c>
      <c r="F63" s="68">
        <f>+F49*'Resumen operativo'!$F10</f>
        <v/>
      </c>
      <c r="G63" s="68">
        <f>+G49*'Resumen operativo'!$F10</f>
        <v/>
      </c>
      <c r="H63" s="68">
        <f>+H49*'Resumen operativo'!$F10</f>
        <v/>
      </c>
      <c r="I63" s="68">
        <f>+I49*'Resumen operativo'!$F10</f>
        <v/>
      </c>
      <c r="J63" s="68">
        <f>+J49*'Resumen operativo'!$F10</f>
        <v/>
      </c>
      <c r="K63" s="68">
        <f>+K49*'Resumen operativo'!$F10</f>
        <v/>
      </c>
      <c r="L63" s="68">
        <f>+L49*'Resumen operativo'!$F10</f>
        <v/>
      </c>
      <c r="M63" s="68">
        <f>+M49*'Resumen operativo'!$F10</f>
        <v/>
      </c>
      <c r="N63" s="68">
        <f>+N49*'Resumen operativo'!$F10</f>
        <v/>
      </c>
      <c r="O63" s="68">
        <f>+O49*'Resumen operativo'!$F10</f>
        <v/>
      </c>
      <c r="P63" s="99">
        <f>+O63</f>
        <v/>
      </c>
      <c r="Q63" s="68">
        <f>+Q49*'Resumen operativo'!$F10</f>
        <v/>
      </c>
      <c r="R63" s="68">
        <f>+R49*'Resumen operativo'!$F10</f>
        <v/>
      </c>
      <c r="S63" s="68">
        <f>+S49*'Resumen operativo'!$F10</f>
        <v/>
      </c>
      <c r="T63" s="68">
        <f>+T49*'Resumen operativo'!$F10</f>
        <v/>
      </c>
      <c r="U63" s="68">
        <f>+U49*'Resumen operativo'!$F10</f>
        <v/>
      </c>
      <c r="V63" s="68">
        <f>+V49*'Resumen operativo'!$F10</f>
        <v/>
      </c>
      <c r="W63" s="68">
        <f>+W49*'Resumen operativo'!$F10</f>
        <v/>
      </c>
      <c r="X63" s="68">
        <f>+X49*'Resumen operativo'!$F10</f>
        <v/>
      </c>
      <c r="Y63" s="68">
        <f>+Y49*'Resumen operativo'!$F10</f>
        <v/>
      </c>
      <c r="Z63" s="68">
        <f>+Z49*'Resumen operativo'!$F10</f>
        <v/>
      </c>
      <c r="AA63" s="68">
        <f>+AA49*'Resumen operativo'!$F10</f>
        <v/>
      </c>
      <c r="AB63" s="68">
        <f>+AB49*'Resumen operativo'!$F10</f>
        <v/>
      </c>
      <c r="AC63" s="99">
        <f>+AB63</f>
        <v/>
      </c>
    </row>
    <row r="64" ht="14.25" customHeight="1">
      <c r="B64" s="105" t="n">
        <v>8</v>
      </c>
      <c r="C64" s="65">
        <f>+C50</f>
        <v/>
      </c>
      <c r="D64" s="68">
        <f>+D50*'Resumen operativo'!$F11</f>
        <v/>
      </c>
      <c r="E64" s="68">
        <f>+E50*'Resumen operativo'!$F11</f>
        <v/>
      </c>
      <c r="F64" s="68">
        <f>+F50*'Resumen operativo'!$F11</f>
        <v/>
      </c>
      <c r="G64" s="68">
        <f>+G50*'Resumen operativo'!$F11</f>
        <v/>
      </c>
      <c r="H64" s="68">
        <f>+H50*'Resumen operativo'!$F11</f>
        <v/>
      </c>
      <c r="I64" s="68">
        <f>+I50*'Resumen operativo'!$F11</f>
        <v/>
      </c>
      <c r="J64" s="68">
        <f>+J50*'Resumen operativo'!$F11</f>
        <v/>
      </c>
      <c r="K64" s="68">
        <f>+K50*'Resumen operativo'!$F11</f>
        <v/>
      </c>
      <c r="L64" s="68">
        <f>+L50*'Resumen operativo'!$F11</f>
        <v/>
      </c>
      <c r="M64" s="68">
        <f>+M50*'Resumen operativo'!$F11</f>
        <v/>
      </c>
      <c r="N64" s="68">
        <f>+N50*'Resumen operativo'!$F11</f>
        <v/>
      </c>
      <c r="O64" s="68">
        <f>+O50*'Resumen operativo'!$F11</f>
        <v/>
      </c>
      <c r="P64" s="99">
        <f>+O64</f>
        <v/>
      </c>
      <c r="Q64" s="68">
        <f>+Q50*'Resumen operativo'!$F11</f>
        <v/>
      </c>
      <c r="R64" s="68">
        <f>+R50*'Resumen operativo'!$F11</f>
        <v/>
      </c>
      <c r="S64" s="68">
        <f>+S50*'Resumen operativo'!$F11</f>
        <v/>
      </c>
      <c r="T64" s="68">
        <f>+T50*'Resumen operativo'!$F11</f>
        <v/>
      </c>
      <c r="U64" s="68">
        <f>+U50*'Resumen operativo'!$F11</f>
        <v/>
      </c>
      <c r="V64" s="68">
        <f>+V50*'Resumen operativo'!$F11</f>
        <v/>
      </c>
      <c r="W64" s="68">
        <f>+W50*'Resumen operativo'!$F11</f>
        <v/>
      </c>
      <c r="X64" s="68">
        <f>+X50*'Resumen operativo'!$F11</f>
        <v/>
      </c>
      <c r="Y64" s="68">
        <f>+Y50*'Resumen operativo'!$F11</f>
        <v/>
      </c>
      <c r="Z64" s="68">
        <f>+Z50*'Resumen operativo'!$F11</f>
        <v/>
      </c>
      <c r="AA64" s="68">
        <f>+AA50*'Resumen operativo'!$F11</f>
        <v/>
      </c>
      <c r="AB64" s="68">
        <f>+AB50*'Resumen operativo'!$F11</f>
        <v/>
      </c>
      <c r="AC64" s="99">
        <f>+AB64</f>
        <v/>
      </c>
    </row>
    <row r="65" ht="14.25" customHeight="1">
      <c r="B65" s="105" t="n">
        <v>9</v>
      </c>
      <c r="C65" s="65">
        <f>+C51</f>
        <v/>
      </c>
      <c r="D65" s="68">
        <f>+D51*'Resumen operativo'!$F12</f>
        <v/>
      </c>
      <c r="E65" s="68">
        <f>+E51*'Resumen operativo'!$F12</f>
        <v/>
      </c>
      <c r="F65" s="68">
        <f>+F51*'Resumen operativo'!$F12</f>
        <v/>
      </c>
      <c r="G65" s="68">
        <f>+G51*'Resumen operativo'!$F12</f>
        <v/>
      </c>
      <c r="H65" s="68">
        <f>+H51*'Resumen operativo'!$F12</f>
        <v/>
      </c>
      <c r="I65" s="68">
        <f>+I51*'Resumen operativo'!$F12</f>
        <v/>
      </c>
      <c r="J65" s="68">
        <f>+J51*'Resumen operativo'!$F12</f>
        <v/>
      </c>
      <c r="K65" s="68">
        <f>+K51*'Resumen operativo'!$F12</f>
        <v/>
      </c>
      <c r="L65" s="68">
        <f>+L51*'Resumen operativo'!$F12</f>
        <v/>
      </c>
      <c r="M65" s="68">
        <f>+M51*'Resumen operativo'!$F12</f>
        <v/>
      </c>
      <c r="N65" s="68">
        <f>+N51*'Resumen operativo'!$F12</f>
        <v/>
      </c>
      <c r="O65" s="68">
        <f>+O51*'Resumen operativo'!$F12</f>
        <v/>
      </c>
      <c r="P65" s="99">
        <f>+O65</f>
        <v/>
      </c>
      <c r="Q65" s="68">
        <f>+Q51*'Resumen operativo'!$F12</f>
        <v/>
      </c>
      <c r="R65" s="68">
        <f>+R51*'Resumen operativo'!$F12</f>
        <v/>
      </c>
      <c r="S65" s="68">
        <f>+S51*'Resumen operativo'!$F12</f>
        <v/>
      </c>
      <c r="T65" s="68">
        <f>+T51*'Resumen operativo'!$F12</f>
        <v/>
      </c>
      <c r="U65" s="68">
        <f>+U51*'Resumen operativo'!$F12</f>
        <v/>
      </c>
      <c r="V65" s="68">
        <f>+V51*'Resumen operativo'!$F12</f>
        <v/>
      </c>
      <c r="W65" s="68">
        <f>+W51*'Resumen operativo'!$F12</f>
        <v/>
      </c>
      <c r="X65" s="68">
        <f>+X51*'Resumen operativo'!$F12</f>
        <v/>
      </c>
      <c r="Y65" s="68">
        <f>+Y51*'Resumen operativo'!$F12</f>
        <v/>
      </c>
      <c r="Z65" s="68">
        <f>+Z51*'Resumen operativo'!$F12</f>
        <v/>
      </c>
      <c r="AA65" s="68">
        <f>+AA51*'Resumen operativo'!$F12</f>
        <v/>
      </c>
      <c r="AB65" s="68">
        <f>+AB51*'Resumen operativo'!$F12</f>
        <v/>
      </c>
      <c r="AC65" s="99">
        <f>+AB65</f>
        <v/>
      </c>
    </row>
    <row r="66" ht="14.25" customHeight="1">
      <c r="B66" s="106" t="n">
        <v>10</v>
      </c>
      <c r="C66" s="101">
        <f>+C52</f>
        <v/>
      </c>
      <c r="D66" s="70">
        <f>+D52*'Resumen operativo'!$F13</f>
        <v/>
      </c>
      <c r="E66" s="70">
        <f>+E52*'Resumen operativo'!$F13</f>
        <v/>
      </c>
      <c r="F66" s="70">
        <f>+F52*'Resumen operativo'!$F13</f>
        <v/>
      </c>
      <c r="G66" s="70">
        <f>+G52*'Resumen operativo'!$F13</f>
        <v/>
      </c>
      <c r="H66" s="70">
        <f>+H52*'Resumen operativo'!$F13</f>
        <v/>
      </c>
      <c r="I66" s="70">
        <f>+I52*'Resumen operativo'!$F13</f>
        <v/>
      </c>
      <c r="J66" s="70">
        <f>+J52*'Resumen operativo'!$F13</f>
        <v/>
      </c>
      <c r="K66" s="70">
        <f>+K52*'Resumen operativo'!$F13</f>
        <v/>
      </c>
      <c r="L66" s="70">
        <f>+L52*'Resumen operativo'!$F13</f>
        <v/>
      </c>
      <c r="M66" s="70">
        <f>+M52*'Resumen operativo'!$F13</f>
        <v/>
      </c>
      <c r="N66" s="70">
        <f>+N52*'Resumen operativo'!$F13</f>
        <v/>
      </c>
      <c r="O66" s="70">
        <f>+O52*'Resumen operativo'!$F13</f>
        <v/>
      </c>
      <c r="P66" s="102">
        <f>+O66</f>
        <v/>
      </c>
      <c r="Q66" s="70">
        <f>+Q52*'Resumen operativo'!$F13</f>
        <v/>
      </c>
      <c r="R66" s="70">
        <f>+R52*'Resumen operativo'!$F13</f>
        <v/>
      </c>
      <c r="S66" s="70">
        <f>+S52*'Resumen operativo'!$F13</f>
        <v/>
      </c>
      <c r="T66" s="70">
        <f>+T52*'Resumen operativo'!$F13</f>
        <v/>
      </c>
      <c r="U66" s="70">
        <f>+U52*'Resumen operativo'!$F13</f>
        <v/>
      </c>
      <c r="V66" s="70">
        <f>+V52*'Resumen operativo'!$F13</f>
        <v/>
      </c>
      <c r="W66" s="70">
        <f>+W52*'Resumen operativo'!$F13</f>
        <v/>
      </c>
      <c r="X66" s="70">
        <f>+X52*'Resumen operativo'!$F13</f>
        <v/>
      </c>
      <c r="Y66" s="70">
        <f>+Y52*'Resumen operativo'!$F13</f>
        <v/>
      </c>
      <c r="Z66" s="70">
        <f>+Z52*'Resumen operativo'!$F13</f>
        <v/>
      </c>
      <c r="AA66" s="70">
        <f>+AA52*'Resumen operativo'!$F13</f>
        <v/>
      </c>
      <c r="AB66" s="70">
        <f>+AB52*'Resumen operativo'!$F13</f>
        <v/>
      </c>
      <c r="AC66" s="102">
        <f>+AB66</f>
        <v/>
      </c>
    </row>
    <row r="67" ht="14.25" customHeight="1">
      <c r="B67" s="74" t="n"/>
      <c r="C67" s="75" t="inlineStr">
        <is>
          <t>Costo de adquisición total</t>
        </is>
      </c>
      <c r="D67" s="76">
        <f>SUM(D57:D66)</f>
        <v/>
      </c>
      <c r="E67" s="76">
        <f>SUM(E57:E66)</f>
        <v/>
      </c>
      <c r="F67" s="76">
        <f>SUM(F57:F66)</f>
        <v/>
      </c>
      <c r="G67" s="76">
        <f>SUM(G57:G66)</f>
        <v/>
      </c>
      <c r="H67" s="76">
        <f>SUM(H57:H66)</f>
        <v/>
      </c>
      <c r="I67" s="76">
        <f>SUM(I57:I66)</f>
        <v/>
      </c>
      <c r="J67" s="76">
        <f>SUM(J57:J66)</f>
        <v/>
      </c>
      <c r="K67" s="76">
        <f>SUM(K57:K66)</f>
        <v/>
      </c>
      <c r="L67" s="76">
        <f>SUM(L57:L66)</f>
        <v/>
      </c>
      <c r="M67" s="76">
        <f>SUM(M57:M66)</f>
        <v/>
      </c>
      <c r="N67" s="76">
        <f>SUM(N57:N66)</f>
        <v/>
      </c>
      <c r="O67" s="76">
        <f>SUM(O57:O66)</f>
        <v/>
      </c>
      <c r="P67" s="103">
        <f>SUM(P57:P66)</f>
        <v/>
      </c>
      <c r="Q67" s="76">
        <f>SUM(Q57:Q66)</f>
        <v/>
      </c>
      <c r="R67" s="76">
        <f>SUM(R57:R66)</f>
        <v/>
      </c>
      <c r="S67" s="76">
        <f>SUM(S57:S66)</f>
        <v/>
      </c>
      <c r="T67" s="76">
        <f>SUM(T57:T66)</f>
        <v/>
      </c>
      <c r="U67" s="76">
        <f>SUM(U57:U66)</f>
        <v/>
      </c>
      <c r="V67" s="76">
        <f>SUM(V57:V66)</f>
        <v/>
      </c>
      <c r="W67" s="76">
        <f>SUM(W57:W66)</f>
        <v/>
      </c>
      <c r="X67" s="76">
        <f>SUM(X57:X66)</f>
        <v/>
      </c>
      <c r="Y67" s="76">
        <f>SUM(Y57:Y66)</f>
        <v/>
      </c>
      <c r="Z67" s="76">
        <f>SUM(Z57:Z66)</f>
        <v/>
      </c>
      <c r="AA67" s="76">
        <f>SUM(AA57:AA66)</f>
        <v/>
      </c>
      <c r="AB67" s="76">
        <f>SUM(AB57:AB66)</f>
        <v/>
      </c>
      <c r="AC67" s="103">
        <f>SUM(AC57:AC66)</f>
        <v/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C55A11"/>
    <outlinePr summaryBelow="1" summaryRight="1"/>
    <pageSetUpPr/>
  </sheetPr>
  <dimension ref="A1:AL1000"/>
  <sheetViews>
    <sheetView topLeftCell="A13" workbookViewId="0">
      <selection activeCell="Z35" sqref="Z35"/>
    </sheetView>
  </sheetViews>
  <sheetFormatPr baseColWidth="10" defaultColWidth="14.453125" defaultRowHeight="15" customHeight="1"/>
  <cols>
    <col width="11.453125" customWidth="1" min="1" max="1"/>
    <col width="32.54296875" bestFit="1" customWidth="1" min="2" max="2"/>
    <col outlineLevel="1" width="13" customWidth="1" min="3" max="11"/>
    <col outlineLevel="1" width="14.54296875" customWidth="1" min="12" max="14"/>
    <col width="14.54296875" customWidth="1" min="15" max="15"/>
    <col outlineLevel="1" width="14.54296875" customWidth="1" min="16" max="27"/>
    <col width="14.54296875" customWidth="1" min="28" max="28"/>
    <col width="11.453125" customWidth="1" min="29" max="38"/>
  </cols>
  <sheetData>
    <row r="1">
      <c r="B1" s="272" t="inlineStr">
        <is>
          <t>Cifras en pesos mexicanos (MXN)</t>
        </is>
      </c>
    </row>
    <row r="2" ht="14.25" customHeight="1">
      <c r="A2" s="1" t="n"/>
      <c r="B2" s="221" t="inlineStr">
        <is>
          <t>Tasa de impuestos sobre utilidades del país:</t>
        </is>
      </c>
      <c r="C2" s="239" t="n"/>
      <c r="D2" s="236" t="n">
        <v>0.3</v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 ht="14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 ht="14.25" customHeight="1">
      <c r="A4" s="1" t="n"/>
      <c r="B4" s="107" t="inlineStr">
        <is>
          <t>Flujo de Fondos</t>
        </is>
      </c>
      <c r="C4" s="108">
        <f>+'Proyección financiera Insumos'!D2</f>
        <v/>
      </c>
      <c r="D4" s="108">
        <f>+'Proyección financiera Insumos'!E2</f>
        <v/>
      </c>
      <c r="E4" s="108">
        <f>+'Proyección financiera Insumos'!F2</f>
        <v/>
      </c>
      <c r="F4" s="108">
        <f>+'Proyección financiera Insumos'!G2</f>
        <v/>
      </c>
      <c r="G4" s="108">
        <f>+'Proyección financiera Insumos'!H2</f>
        <v/>
      </c>
      <c r="H4" s="108">
        <f>+'Proyección financiera Insumos'!I2</f>
        <v/>
      </c>
      <c r="I4" s="108">
        <f>+'Proyección financiera Insumos'!J2</f>
        <v/>
      </c>
      <c r="J4" s="108">
        <f>+'Proyección financiera Insumos'!K2</f>
        <v/>
      </c>
      <c r="K4" s="108">
        <f>+'Proyección financiera Insumos'!L2</f>
        <v/>
      </c>
      <c r="L4" s="108">
        <f>+'Proyección financiera Insumos'!M2</f>
        <v/>
      </c>
      <c r="M4" s="108">
        <f>+'Proyección financiera Insumos'!N2</f>
        <v/>
      </c>
      <c r="N4" s="108">
        <f>+'Proyección financiera Insumos'!O2</f>
        <v/>
      </c>
      <c r="O4" s="109" t="inlineStr">
        <is>
          <t>Año 1</t>
        </is>
      </c>
      <c r="P4" s="108">
        <f>+'Proyección financiera Insumos'!Q2</f>
        <v/>
      </c>
      <c r="Q4" s="108">
        <f>+'Proyección financiera Insumos'!R2</f>
        <v/>
      </c>
      <c r="R4" s="108">
        <f>+'Proyección financiera Insumos'!S2</f>
        <v/>
      </c>
      <c r="S4" s="108">
        <f>+'Proyección financiera Insumos'!T2</f>
        <v/>
      </c>
      <c r="T4" s="108">
        <f>+'Proyección financiera Insumos'!U2</f>
        <v/>
      </c>
      <c r="U4" s="108">
        <f>+'Proyección financiera Insumos'!V2</f>
        <v/>
      </c>
      <c r="V4" s="108">
        <f>+'Proyección financiera Insumos'!W2</f>
        <v/>
      </c>
      <c r="W4" s="108">
        <f>+'Proyección financiera Insumos'!X2</f>
        <v/>
      </c>
      <c r="X4" s="108">
        <f>+'Proyección financiera Insumos'!Y2</f>
        <v/>
      </c>
      <c r="Y4" s="108">
        <f>+'Proyección financiera Insumos'!Z2</f>
        <v/>
      </c>
      <c r="Z4" s="108">
        <f>+'Proyección financiera Insumos'!AA2</f>
        <v/>
      </c>
      <c r="AA4" s="108">
        <f>+'Proyección financiera Insumos'!AB2</f>
        <v/>
      </c>
      <c r="AB4" s="109" t="inlineStr">
        <is>
          <t>Año 2</t>
        </is>
      </c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14.25" customHeight="1">
      <c r="A5" s="110" t="n"/>
      <c r="B5" s="111" t="inlineStr">
        <is>
          <t>Ingresos por Ventas</t>
        </is>
      </c>
      <c r="C5" s="112">
        <f>+'Proyección financiera Insumos'!D26</f>
        <v/>
      </c>
      <c r="D5" s="112">
        <f>+'Proyección financiera Insumos'!E26</f>
        <v/>
      </c>
      <c r="E5" s="112">
        <f>+'Proyección financiera Insumos'!F26</f>
        <v/>
      </c>
      <c r="F5" s="112">
        <f>+'Proyección financiera Insumos'!G26</f>
        <v/>
      </c>
      <c r="G5" s="112">
        <f>+'Proyección financiera Insumos'!H26</f>
        <v/>
      </c>
      <c r="H5" s="112">
        <f>+'Proyección financiera Insumos'!I26</f>
        <v/>
      </c>
      <c r="I5" s="112">
        <f>+'Proyección financiera Insumos'!J26</f>
        <v/>
      </c>
      <c r="J5" s="112">
        <f>+'Proyección financiera Insumos'!K26</f>
        <v/>
      </c>
      <c r="K5" s="112">
        <f>+'Proyección financiera Insumos'!L26</f>
        <v/>
      </c>
      <c r="L5" s="112">
        <f>+'Proyección financiera Insumos'!M26</f>
        <v/>
      </c>
      <c r="M5" s="112">
        <f>+'Proyección financiera Insumos'!N26</f>
        <v/>
      </c>
      <c r="N5" s="112">
        <f>+'Proyección financiera Insumos'!O26</f>
        <v/>
      </c>
      <c r="O5" s="112">
        <f>SUM(C5:N5)</f>
        <v/>
      </c>
      <c r="P5" s="112">
        <f>+'Proyección financiera Insumos'!Q26</f>
        <v/>
      </c>
      <c r="Q5" s="112">
        <f>+'Proyección financiera Insumos'!R26</f>
        <v/>
      </c>
      <c r="R5" s="112">
        <f>+'Proyección financiera Insumos'!S26</f>
        <v/>
      </c>
      <c r="S5" s="112">
        <f>+'Proyección financiera Insumos'!T26</f>
        <v/>
      </c>
      <c r="T5" s="112">
        <f>+'Proyección financiera Insumos'!U26</f>
        <v/>
      </c>
      <c r="U5" s="112">
        <f>+'Proyección financiera Insumos'!V26</f>
        <v/>
      </c>
      <c r="V5" s="112">
        <f>+'Proyección financiera Insumos'!W26</f>
        <v/>
      </c>
      <c r="W5" s="112">
        <f>+'Proyección financiera Insumos'!X26</f>
        <v/>
      </c>
      <c r="X5" s="112">
        <f>+'Proyección financiera Insumos'!Y26</f>
        <v/>
      </c>
      <c r="Y5" s="112">
        <f>+'Proyección financiera Insumos'!Z26</f>
        <v/>
      </c>
      <c r="Z5" s="112">
        <f>+'Proyección financiera Insumos'!AA26</f>
        <v/>
      </c>
      <c r="AA5" s="112">
        <f>+'Proyección financiera Insumos'!AB26</f>
        <v/>
      </c>
      <c r="AB5" s="112">
        <f>SUM(P5:AA5)</f>
        <v/>
      </c>
      <c r="AC5" s="110" t="n"/>
      <c r="AD5" s="110" t="n"/>
      <c r="AE5" s="110" t="n"/>
      <c r="AF5" s="110" t="n"/>
      <c r="AG5" s="110" t="n"/>
      <c r="AH5" s="110" t="n"/>
      <c r="AI5" s="110" t="n"/>
      <c r="AJ5" s="110" t="n"/>
      <c r="AK5" s="110" t="n"/>
      <c r="AL5" s="110" t="n"/>
    </row>
    <row r="6" ht="14.25" customHeight="1">
      <c r="A6" s="1" t="n"/>
      <c r="B6" s="1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113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113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</row>
    <row r="7" ht="14.25" customHeight="1">
      <c r="A7" s="1" t="n"/>
      <c r="B7" s="1" t="inlineStr">
        <is>
          <t>Costo de M.P.</t>
        </is>
      </c>
      <c r="C7" s="30">
        <f>+'Proyección financiera Insumos'!D39</f>
        <v/>
      </c>
      <c r="D7" s="30">
        <f>+'Proyección financiera Insumos'!E39</f>
        <v/>
      </c>
      <c r="E7" s="30">
        <f>+'Proyección financiera Insumos'!F39</f>
        <v/>
      </c>
      <c r="F7" s="30">
        <f>+'Proyección financiera Insumos'!G39</f>
        <v/>
      </c>
      <c r="G7" s="30">
        <f>+'Proyección financiera Insumos'!H39</f>
        <v/>
      </c>
      <c r="H7" s="30">
        <f>+'Proyección financiera Insumos'!I39</f>
        <v/>
      </c>
      <c r="I7" s="30">
        <f>+'Proyección financiera Insumos'!J39</f>
        <v/>
      </c>
      <c r="J7" s="30">
        <f>+'Proyección financiera Insumos'!K39</f>
        <v/>
      </c>
      <c r="K7" s="30">
        <f>+'Proyección financiera Insumos'!L39</f>
        <v/>
      </c>
      <c r="L7" s="30">
        <f>+'Proyección financiera Insumos'!M39</f>
        <v/>
      </c>
      <c r="M7" s="30">
        <f>+'Proyección financiera Insumos'!N39</f>
        <v/>
      </c>
      <c r="N7" s="30">
        <f>+'Proyección financiera Insumos'!O39</f>
        <v/>
      </c>
      <c r="O7" s="113">
        <f>SUM(C7:N7)</f>
        <v/>
      </c>
      <c r="P7" s="30">
        <f>+'Proyección financiera Insumos'!Q39</f>
        <v/>
      </c>
      <c r="Q7" s="30">
        <f>+'Proyección financiera Insumos'!R39</f>
        <v/>
      </c>
      <c r="R7" s="30">
        <f>+'Proyección financiera Insumos'!S39</f>
        <v/>
      </c>
      <c r="S7" s="30">
        <f>+'Proyección financiera Insumos'!T39</f>
        <v/>
      </c>
      <c r="T7" s="30">
        <f>+'Proyección financiera Insumos'!U39</f>
        <v/>
      </c>
      <c r="U7" s="30">
        <f>+'Proyección financiera Insumos'!V39</f>
        <v/>
      </c>
      <c r="V7" s="30">
        <f>+'Proyección financiera Insumos'!W39</f>
        <v/>
      </c>
      <c r="W7" s="30">
        <f>+'Proyección financiera Insumos'!X39</f>
        <v/>
      </c>
      <c r="X7" s="30">
        <f>+'Proyección financiera Insumos'!Y39</f>
        <v/>
      </c>
      <c r="Y7" s="30">
        <f>+'Proyección financiera Insumos'!Z39</f>
        <v/>
      </c>
      <c r="Z7" s="30">
        <f>+'Proyección financiera Insumos'!AA39</f>
        <v/>
      </c>
      <c r="AA7" s="30">
        <f>+'Proyección financiera Insumos'!AB39</f>
        <v/>
      </c>
      <c r="AB7" s="113">
        <f>SUM(P7:AA7)</f>
        <v/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</row>
    <row r="8" ht="14.25" customHeight="1">
      <c r="A8" s="1" t="n"/>
      <c r="B8" s="1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113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113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</row>
    <row r="9" ht="14.25" customHeight="1">
      <c r="A9" s="1" t="n"/>
      <c r="B9" s="111" t="inlineStr">
        <is>
          <t>Utilidad Bruta</t>
        </is>
      </c>
      <c r="C9" s="112">
        <f>+C5-C7</f>
        <v/>
      </c>
      <c r="D9" s="112">
        <f>+D5-D7</f>
        <v/>
      </c>
      <c r="E9" s="112">
        <f>+E5-E7</f>
        <v/>
      </c>
      <c r="F9" s="112">
        <f>+F5-F7</f>
        <v/>
      </c>
      <c r="G9" s="112">
        <f>+G5-G7</f>
        <v/>
      </c>
      <c r="H9" s="112">
        <f>+H5-H7</f>
        <v/>
      </c>
      <c r="I9" s="112">
        <f>+I5-I7</f>
        <v/>
      </c>
      <c r="J9" s="112">
        <f>+J5-J7</f>
        <v/>
      </c>
      <c r="K9" s="112">
        <f>+K5-K7</f>
        <v/>
      </c>
      <c r="L9" s="112">
        <f>+L5-L7</f>
        <v/>
      </c>
      <c r="M9" s="112">
        <f>+M5-M7</f>
        <v/>
      </c>
      <c r="N9" s="112">
        <f>+N5-N7</f>
        <v/>
      </c>
      <c r="O9" s="112">
        <f>+O5-O7</f>
        <v/>
      </c>
      <c r="P9" s="112">
        <f>+P5-P7</f>
        <v/>
      </c>
      <c r="Q9" s="112">
        <f>+Q5-Q7</f>
        <v/>
      </c>
      <c r="R9" s="112">
        <f>+R5-R7</f>
        <v/>
      </c>
      <c r="S9" s="112">
        <f>+S5-S7</f>
        <v/>
      </c>
      <c r="T9" s="112">
        <f>+T5-T7</f>
        <v/>
      </c>
      <c r="U9" s="112">
        <f>+U5-U7</f>
        <v/>
      </c>
      <c r="V9" s="112">
        <f>+V5-V7</f>
        <v/>
      </c>
      <c r="W9" s="112">
        <f>+W5-W7</f>
        <v/>
      </c>
      <c r="X9" s="112">
        <f>+X5-X7</f>
        <v/>
      </c>
      <c r="Y9" s="112">
        <f>+Y5-Y7</f>
        <v/>
      </c>
      <c r="Z9" s="112">
        <f>+Z5-Z7</f>
        <v/>
      </c>
      <c r="AA9" s="112">
        <f>+AA5-AA7</f>
        <v/>
      </c>
      <c r="AB9" s="112">
        <f>+AB5-AB7</f>
        <v/>
      </c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</row>
    <row r="10" ht="14.25" customHeight="1">
      <c r="A10" s="1" t="n"/>
      <c r="B10" s="1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113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113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</row>
    <row r="11" ht="14.25" customHeight="1">
      <c r="A11" s="1" t="n"/>
      <c r="B11" s="114" t="inlineStr">
        <is>
          <t>Sueldos y Cargas</t>
        </is>
      </c>
      <c r="C11" s="115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113" t="n"/>
      <c r="P11" s="115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113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</row>
    <row r="12" ht="14.25" customHeight="1">
      <c r="A12" s="1" t="n"/>
      <c r="B12" s="116" t="inlineStr">
        <is>
          <t xml:space="preserve">Sueldos  </t>
        </is>
      </c>
      <c r="C12" s="117">
        <f>+SUM(OPEX!$C$9:$C$22)</f>
        <v/>
      </c>
      <c r="D12" s="117">
        <f>+SUM(OPEX!$C$9:$C$22)</f>
        <v/>
      </c>
      <c r="E12" s="117">
        <f>+SUM(OPEX!$C$9:$C$22)</f>
        <v/>
      </c>
      <c r="F12" s="117">
        <f>+SUM(OPEX!$C$9:$C$22)</f>
        <v/>
      </c>
      <c r="G12" s="117">
        <f>+SUM(OPEX!$C$9:$C$22)</f>
        <v/>
      </c>
      <c r="H12" s="117">
        <f>+SUM(OPEX!$C$9:$C$22)</f>
        <v/>
      </c>
      <c r="I12" s="117">
        <f>+SUM(OPEX!$C$9:$C$22)</f>
        <v/>
      </c>
      <c r="J12" s="117">
        <f>+SUM(OPEX!$C$9:$C$22)</f>
        <v/>
      </c>
      <c r="K12" s="117">
        <f>+SUM(OPEX!$C$9:$C$22)</f>
        <v/>
      </c>
      <c r="L12" s="117">
        <f>+SUM(OPEX!$C$9:$C$22)</f>
        <v/>
      </c>
      <c r="M12" s="117">
        <f>+SUM(OPEX!$C$9:$C$22)</f>
        <v/>
      </c>
      <c r="N12" s="117">
        <f>+SUM(OPEX!$C$9:$C$22)</f>
        <v/>
      </c>
      <c r="O12" s="113">
        <f>SUM(C12:N12)</f>
        <v/>
      </c>
      <c r="P12" s="117">
        <f>+SUM(OPEX!$C$9:$C$22)</f>
        <v/>
      </c>
      <c r="Q12" s="117">
        <f>+SUM(OPEX!$C$9:$C$22)</f>
        <v/>
      </c>
      <c r="R12" s="117">
        <f>+SUM(OPEX!$C$9:$C$22)</f>
        <v/>
      </c>
      <c r="S12" s="117">
        <f>+SUM(OPEX!$C$9:$C$22)</f>
        <v/>
      </c>
      <c r="T12" s="117">
        <f>+SUM(OPEX!$C$9:$C$22)</f>
        <v/>
      </c>
      <c r="U12" s="117">
        <f>+SUM(OPEX!$C$9:$C$22)</f>
        <v/>
      </c>
      <c r="V12" s="117">
        <f>+SUM(OPEX!$C$9:$C$22)</f>
        <v/>
      </c>
      <c r="W12" s="117">
        <f>+SUM(OPEX!$C$9:$C$22)</f>
        <v/>
      </c>
      <c r="X12" s="117">
        <f>+SUM(OPEX!$C$9:$C$22)</f>
        <v/>
      </c>
      <c r="Y12" s="117">
        <f>+SUM(OPEX!$C$9:$C$22)</f>
        <v/>
      </c>
      <c r="Z12" s="117">
        <f>+SUM(OPEX!$C$9:$C$22)</f>
        <v/>
      </c>
      <c r="AA12" s="117">
        <f>+SUM(OPEX!$C$9:$C$22)</f>
        <v/>
      </c>
      <c r="AB12" s="113">
        <f>SUM(P12:AA12)</f>
        <v/>
      </c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</row>
    <row r="13" ht="14.25" customHeight="1">
      <c r="A13" s="1" t="n"/>
      <c r="B13" s="116" t="inlineStr">
        <is>
          <t>Cargas sociales</t>
        </is>
      </c>
      <c r="C13" s="118">
        <f>+OPEX!$C$8</f>
        <v/>
      </c>
      <c r="D13" s="118">
        <f>+OPEX!$C$8</f>
        <v/>
      </c>
      <c r="E13" s="118">
        <f>+OPEX!$C$8</f>
        <v/>
      </c>
      <c r="F13" s="118">
        <f>+OPEX!$C$8</f>
        <v/>
      </c>
      <c r="G13" s="118">
        <f>+OPEX!$C$8</f>
        <v/>
      </c>
      <c r="H13" s="118">
        <f>+OPEX!$C$8</f>
        <v/>
      </c>
      <c r="I13" s="118">
        <f>+OPEX!$C$8</f>
        <v/>
      </c>
      <c r="J13" s="118">
        <f>+OPEX!$C$8</f>
        <v/>
      </c>
      <c r="K13" s="118">
        <f>+OPEX!$C$8</f>
        <v/>
      </c>
      <c r="L13" s="118">
        <f>+OPEX!$C$8</f>
        <v/>
      </c>
      <c r="M13" s="118">
        <f>+OPEX!$C$8</f>
        <v/>
      </c>
      <c r="N13" s="118">
        <f>+OPEX!$C$8</f>
        <v/>
      </c>
      <c r="O13" s="119">
        <f>SUM(C13:N13)</f>
        <v/>
      </c>
      <c r="P13" s="118">
        <f>+OPEX!$C$8</f>
        <v/>
      </c>
      <c r="Q13" s="118">
        <f>+OPEX!$C$8</f>
        <v/>
      </c>
      <c r="R13" s="118">
        <f>+OPEX!$C$8</f>
        <v/>
      </c>
      <c r="S13" s="118">
        <f>+OPEX!$C$8</f>
        <v/>
      </c>
      <c r="T13" s="118">
        <f>+OPEX!$C$8</f>
        <v/>
      </c>
      <c r="U13" s="118">
        <f>+OPEX!$C$8</f>
        <v/>
      </c>
      <c r="V13" s="118">
        <f>+OPEX!$C$8</f>
        <v/>
      </c>
      <c r="W13" s="118">
        <f>+OPEX!$C$8</f>
        <v/>
      </c>
      <c r="X13" s="118">
        <f>+OPEX!$C$8</f>
        <v/>
      </c>
      <c r="Y13" s="118">
        <f>+OPEX!$C$8</f>
        <v/>
      </c>
      <c r="Z13" s="118">
        <f>+OPEX!$C$8</f>
        <v/>
      </c>
      <c r="AA13" s="118">
        <f>+OPEX!$C$8</f>
        <v/>
      </c>
      <c r="AB13" s="119">
        <f>SUM(P13:AA13)</f>
        <v/>
      </c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</row>
    <row r="14" ht="14.25" customHeight="1">
      <c r="A14" s="1" t="n"/>
      <c r="B14" s="120" t="inlineStr">
        <is>
          <t>Subtotal Sueldos y Cargas</t>
        </is>
      </c>
      <c r="C14" s="30">
        <f>+SUM(C12:C13)</f>
        <v/>
      </c>
      <c r="D14" s="30">
        <f>+SUM(D12:D13)</f>
        <v/>
      </c>
      <c r="E14" s="30">
        <f>+SUM(E12:E13)</f>
        <v/>
      </c>
      <c r="F14" s="30">
        <f>+SUM(F12:F13)</f>
        <v/>
      </c>
      <c r="G14" s="30">
        <f>+SUM(G12:G13)</f>
        <v/>
      </c>
      <c r="H14" s="30">
        <f>+SUM(H12:H13)</f>
        <v/>
      </c>
      <c r="I14" s="30">
        <f>+SUM(I12:I13)</f>
        <v/>
      </c>
      <c r="J14" s="30">
        <f>+SUM(J12:J13)</f>
        <v/>
      </c>
      <c r="K14" s="30">
        <f>+SUM(K12:K13)</f>
        <v/>
      </c>
      <c r="L14" s="30">
        <f>+SUM(L12:L13)</f>
        <v/>
      </c>
      <c r="M14" s="30">
        <f>+SUM(M12:M13)</f>
        <v/>
      </c>
      <c r="N14" s="30">
        <f>+SUM(N12:N13)</f>
        <v/>
      </c>
      <c r="O14" s="113">
        <f>SUM(C14:N14)</f>
        <v/>
      </c>
      <c r="P14" s="30">
        <f>+SUM(P12:P13)</f>
        <v/>
      </c>
      <c r="Q14" s="30">
        <f>+SUM(Q12:Q13)</f>
        <v/>
      </c>
      <c r="R14" s="30">
        <f>+SUM(R12:R13)</f>
        <v/>
      </c>
      <c r="S14" s="30">
        <f>+SUM(S12:S13)</f>
        <v/>
      </c>
      <c r="T14" s="30">
        <f>+SUM(T12:T13)</f>
        <v/>
      </c>
      <c r="U14" s="30">
        <f>+SUM(U12:U13)</f>
        <v/>
      </c>
      <c r="V14" s="30">
        <f>+SUM(V12:V13)</f>
        <v/>
      </c>
      <c r="W14" s="30">
        <f>+SUM(W12:W13)</f>
        <v/>
      </c>
      <c r="X14" s="30">
        <f>+SUM(X12:X13)</f>
        <v/>
      </c>
      <c r="Y14" s="30">
        <f>+SUM(Y12:Y13)</f>
        <v/>
      </c>
      <c r="Z14" s="30">
        <f>+SUM(Z12:Z13)</f>
        <v/>
      </c>
      <c r="AA14" s="30">
        <f>+SUM(AA12:AA13)</f>
        <v/>
      </c>
      <c r="AB14" s="113">
        <f>SUM(P14:AA14)</f>
        <v/>
      </c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</row>
    <row r="15" ht="14.25" customHeight="1">
      <c r="A15" s="1" t="n"/>
      <c r="B15" s="1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113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113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</row>
    <row r="16" ht="14.25" customHeight="1">
      <c r="A16" s="1" t="n"/>
      <c r="B16" s="121" t="inlineStr">
        <is>
          <t>Costos indirectos de fábrica</t>
        </is>
      </c>
      <c r="C16" s="30">
        <f>+OPEX!$E$7-OPEX!$E$8</f>
        <v/>
      </c>
      <c r="D16" s="30">
        <f>+OPEX!$E$7-OPEX!$E$8</f>
        <v/>
      </c>
      <c r="E16" s="30">
        <f>+OPEX!$E$7-OPEX!$E$8</f>
        <v/>
      </c>
      <c r="F16" s="30">
        <f>+OPEX!$E$7-OPEX!$E$8</f>
        <v/>
      </c>
      <c r="G16" s="30">
        <f>+OPEX!$E$7-OPEX!$E$8</f>
        <v/>
      </c>
      <c r="H16" s="30">
        <f>+OPEX!$E$7-OPEX!$E$8</f>
        <v/>
      </c>
      <c r="I16" s="30">
        <f>+OPEX!$E$7-OPEX!$E$8</f>
        <v/>
      </c>
      <c r="J16" s="30">
        <f>+OPEX!$E$7-OPEX!$E$8</f>
        <v/>
      </c>
      <c r="K16" s="30">
        <f>+OPEX!$E$7-OPEX!$E$8</f>
        <v/>
      </c>
      <c r="L16" s="30">
        <f>+OPEX!$E$7-OPEX!$E$8</f>
        <v/>
      </c>
      <c r="M16" s="30">
        <f>+OPEX!$E$7-OPEX!$E$8</f>
        <v/>
      </c>
      <c r="N16" s="30">
        <f>+OPEX!$E$7-OPEX!$E$8</f>
        <v/>
      </c>
      <c r="O16" s="113">
        <f>SUM(C16:N16)</f>
        <v/>
      </c>
      <c r="P16" s="30">
        <f>+OPEX!$E$7-OPEX!$E$8</f>
        <v/>
      </c>
      <c r="Q16" s="30">
        <f>+OPEX!$E$7-OPEX!$E$8</f>
        <v/>
      </c>
      <c r="R16" s="30">
        <f>+OPEX!$E$7-OPEX!$E$8</f>
        <v/>
      </c>
      <c r="S16" s="30">
        <f>+OPEX!$E$7-OPEX!$E$8</f>
        <v/>
      </c>
      <c r="T16" s="30">
        <f>+OPEX!$E$7-OPEX!$E$8</f>
        <v/>
      </c>
      <c r="U16" s="30">
        <f>+OPEX!$E$7-OPEX!$E$8</f>
        <v/>
      </c>
      <c r="V16" s="30">
        <f>+OPEX!$E$7-OPEX!$E$8</f>
        <v/>
      </c>
      <c r="W16" s="30">
        <f>+OPEX!$E$7-OPEX!$E$8</f>
        <v/>
      </c>
      <c r="X16" s="30">
        <f>+OPEX!$E$7-OPEX!$E$8</f>
        <v/>
      </c>
      <c r="Y16" s="30">
        <f>+OPEX!$E$7-OPEX!$E$8</f>
        <v/>
      </c>
      <c r="Z16" s="30">
        <f>+OPEX!$E$7-OPEX!$E$8</f>
        <v/>
      </c>
      <c r="AA16" s="30">
        <f>+OPEX!$E$7-OPEX!$E$8</f>
        <v/>
      </c>
      <c r="AB16" s="113">
        <f>SUM(P16:AA16)</f>
        <v/>
      </c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</row>
    <row r="17" ht="14.25" customHeight="1">
      <c r="A17" s="1" t="n"/>
      <c r="B17" s="1" t="inlineStr">
        <is>
          <t>Esfuerzo de venta</t>
        </is>
      </c>
      <c r="C17" s="30">
        <f>+'Proyección financiera Insumos'!D67</f>
        <v/>
      </c>
      <c r="D17" s="30">
        <f>+'Proyección financiera Insumos'!E67</f>
        <v/>
      </c>
      <c r="E17" s="30">
        <f>+'Proyección financiera Insumos'!F67</f>
        <v/>
      </c>
      <c r="F17" s="30">
        <f>+'Proyección financiera Insumos'!G67</f>
        <v/>
      </c>
      <c r="G17" s="30">
        <f>+'Proyección financiera Insumos'!H67</f>
        <v/>
      </c>
      <c r="H17" s="30">
        <f>+'Proyección financiera Insumos'!I67</f>
        <v/>
      </c>
      <c r="I17" s="30">
        <f>+'Proyección financiera Insumos'!J67</f>
        <v/>
      </c>
      <c r="J17" s="30">
        <f>+'Proyección financiera Insumos'!K67</f>
        <v/>
      </c>
      <c r="K17" s="30">
        <f>+'Proyección financiera Insumos'!L67</f>
        <v/>
      </c>
      <c r="L17" s="30">
        <f>+'Proyección financiera Insumos'!M67</f>
        <v/>
      </c>
      <c r="M17" s="30">
        <f>+'Proyección financiera Insumos'!N67</f>
        <v/>
      </c>
      <c r="N17" s="30">
        <f>+'Proyección financiera Insumos'!O67</f>
        <v/>
      </c>
      <c r="O17" s="113">
        <f>+'Proyección financiera Insumos'!P67</f>
        <v/>
      </c>
      <c r="P17" s="30">
        <f>+'Proyección financiera Insumos'!Q67</f>
        <v/>
      </c>
      <c r="Q17" s="30">
        <f>+'Proyección financiera Insumos'!R67</f>
        <v/>
      </c>
      <c r="R17" s="30">
        <f>+'Proyección financiera Insumos'!S67</f>
        <v/>
      </c>
      <c r="S17" s="30">
        <f>+'Proyección financiera Insumos'!T67</f>
        <v/>
      </c>
      <c r="T17" s="30">
        <f>+'Proyección financiera Insumos'!U67</f>
        <v/>
      </c>
      <c r="U17" s="30">
        <f>+'Proyección financiera Insumos'!V67</f>
        <v/>
      </c>
      <c r="V17" s="30">
        <f>+'Proyección financiera Insumos'!W67</f>
        <v/>
      </c>
      <c r="W17" s="30">
        <f>+'Proyección financiera Insumos'!X67</f>
        <v/>
      </c>
      <c r="X17" s="30">
        <f>+'Proyección financiera Insumos'!Y67</f>
        <v/>
      </c>
      <c r="Y17" s="30">
        <f>+'Proyección financiera Insumos'!Z67</f>
        <v/>
      </c>
      <c r="Z17" s="30">
        <f>+'Proyección financiera Insumos'!AA67</f>
        <v/>
      </c>
      <c r="AA17" s="30">
        <f>+'Proyección financiera Insumos'!AB67</f>
        <v/>
      </c>
      <c r="AB17" s="113">
        <f>+'Proyección financiera Insumos'!AC67</f>
        <v/>
      </c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</row>
    <row r="18" ht="14.25" customHeight="1">
      <c r="A18" s="1" t="n"/>
      <c r="B18" s="1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113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113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</row>
    <row r="19" ht="14.25" customHeight="1">
      <c r="A19" s="110" t="n"/>
      <c r="B19" s="122" t="inlineStr">
        <is>
          <t>Total Egresos Operativos</t>
        </is>
      </c>
      <c r="C19" s="123">
        <f>+C17+C16+C14+C7</f>
        <v/>
      </c>
      <c r="D19" s="123">
        <f>+D17+D16+D14+D7</f>
        <v/>
      </c>
      <c r="E19" s="123">
        <f>+E17+E16+E14+E7</f>
        <v/>
      </c>
      <c r="F19" s="123">
        <f>+F17+F16+F14+F7</f>
        <v/>
      </c>
      <c r="G19" s="123">
        <f>+G17+G16+G14+G7</f>
        <v/>
      </c>
      <c r="H19" s="123">
        <f>+H17+H16+H14+H7</f>
        <v/>
      </c>
      <c r="I19" s="123">
        <f>+I17+I16+I14+I7</f>
        <v/>
      </c>
      <c r="J19" s="123">
        <f>+J17+J16+J14+J7</f>
        <v/>
      </c>
      <c r="K19" s="123">
        <f>+K17+K16+K14+K7</f>
        <v/>
      </c>
      <c r="L19" s="123">
        <f>+L17+L16+L14+L7</f>
        <v/>
      </c>
      <c r="M19" s="123">
        <f>+M17+M16+M14+M7</f>
        <v/>
      </c>
      <c r="N19" s="123">
        <f>+N17+N16+N14+N7</f>
        <v/>
      </c>
      <c r="O19" s="123">
        <f>SUM(C19:N19)</f>
        <v/>
      </c>
      <c r="P19" s="123">
        <f>+P17+P16+P14+P7</f>
        <v/>
      </c>
      <c r="Q19" s="123">
        <f>+Q17+Q16+Q14+Q7</f>
        <v/>
      </c>
      <c r="R19" s="123">
        <f>+R17+R16+R14+R7</f>
        <v/>
      </c>
      <c r="S19" s="123">
        <f>+S17+S16+S14+S7</f>
        <v/>
      </c>
      <c r="T19" s="123">
        <f>+T17+T16+T14+T7</f>
        <v/>
      </c>
      <c r="U19" s="123">
        <f>+U17+U16+U14+U7</f>
        <v/>
      </c>
      <c r="V19" s="123">
        <f>+V17+V16+V14+V7</f>
        <v/>
      </c>
      <c r="W19" s="123">
        <f>+W17+W16+W14+W7</f>
        <v/>
      </c>
      <c r="X19" s="123">
        <f>+X17+X16+X14+X7</f>
        <v/>
      </c>
      <c r="Y19" s="123">
        <f>+Y17+Y16+Y14+Y7</f>
        <v/>
      </c>
      <c r="Z19" s="123">
        <f>+Z17+Z16+Z14+Z7</f>
        <v/>
      </c>
      <c r="AA19" s="123">
        <f>+AA17+AA16+AA14+AA7</f>
        <v/>
      </c>
      <c r="AB19" s="123">
        <f>SUM(P19:AA19)</f>
        <v/>
      </c>
      <c r="AC19" s="110" t="n"/>
      <c r="AD19" s="110" t="n"/>
      <c r="AE19" s="110" t="n"/>
      <c r="AF19" s="110" t="n"/>
      <c r="AG19" s="110" t="n"/>
      <c r="AH19" s="110" t="n"/>
      <c r="AI19" s="110" t="n"/>
      <c r="AJ19" s="110" t="n"/>
      <c r="AK19" s="110" t="n"/>
      <c r="AL19" s="110" t="n"/>
    </row>
    <row r="20" ht="14.25" customHeight="1">
      <c r="A20" s="1" t="n"/>
      <c r="B20" s="1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113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113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</row>
    <row r="21" ht="14.25" customHeight="1">
      <c r="A21" s="1" t="n"/>
      <c r="B21" s="124" t="inlineStr">
        <is>
          <t>EBITDA</t>
        </is>
      </c>
      <c r="C21" s="125">
        <f>+C5-C19</f>
        <v/>
      </c>
      <c r="D21" s="125">
        <f>+D5-D19</f>
        <v/>
      </c>
      <c r="E21" s="125">
        <f>+E5-E19</f>
        <v/>
      </c>
      <c r="F21" s="125">
        <f>+F5-F19</f>
        <v/>
      </c>
      <c r="G21" s="125">
        <f>+G5-G19</f>
        <v/>
      </c>
      <c r="H21" s="125">
        <f>+H5-H19</f>
        <v/>
      </c>
      <c r="I21" s="125">
        <f>+I5-I19</f>
        <v/>
      </c>
      <c r="J21" s="125">
        <f>+J5-J19</f>
        <v/>
      </c>
      <c r="K21" s="125">
        <f>+K5-K19</f>
        <v/>
      </c>
      <c r="L21" s="125">
        <f>+L5-L19</f>
        <v/>
      </c>
      <c r="M21" s="125">
        <f>+M5-M19</f>
        <v/>
      </c>
      <c r="N21" s="125">
        <f>+N5-N19</f>
        <v/>
      </c>
      <c r="O21" s="126">
        <f>SUM(C21:N21)</f>
        <v/>
      </c>
      <c r="P21" s="125">
        <f>+P5-P19</f>
        <v/>
      </c>
      <c r="Q21" s="125">
        <f>+Q5-Q19</f>
        <v/>
      </c>
      <c r="R21" s="125">
        <f>+R5-R19</f>
        <v/>
      </c>
      <c r="S21" s="125">
        <f>+S5-S19</f>
        <v/>
      </c>
      <c r="T21" s="125">
        <f>+T5-T19</f>
        <v/>
      </c>
      <c r="U21" s="125">
        <f>+U5-U19</f>
        <v/>
      </c>
      <c r="V21" s="125">
        <f>+V5-V19</f>
        <v/>
      </c>
      <c r="W21" s="125">
        <f>+W5-W19</f>
        <v/>
      </c>
      <c r="X21" s="125">
        <f>+X5-X19</f>
        <v/>
      </c>
      <c r="Y21" s="125">
        <f>+Y5-Y19</f>
        <v/>
      </c>
      <c r="Z21" s="125">
        <f>+Z5-Z19</f>
        <v/>
      </c>
      <c r="AA21" s="125">
        <f>+AA5-AA19</f>
        <v/>
      </c>
      <c r="AB21" s="126">
        <f>SUM(P21:AA21)</f>
        <v/>
      </c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</row>
    <row r="22" ht="14.25" customHeight="1">
      <c r="A22" s="1" t="n"/>
      <c r="B22" s="127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9" t="n"/>
      <c r="P22" s="128" t="n"/>
      <c r="Q22" s="128" t="n"/>
      <c r="R22" s="128" t="n"/>
      <c r="S22" s="128" t="n"/>
      <c r="T22" s="128" t="n"/>
      <c r="U22" s="128" t="n"/>
      <c r="V22" s="128" t="n"/>
      <c r="W22" s="128" t="n"/>
      <c r="X22" s="128" t="n"/>
      <c r="Y22" s="128" t="n"/>
      <c r="Z22" s="128" t="n"/>
      <c r="AA22" s="128" t="n"/>
      <c r="AB22" s="129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 ht="14.25" customHeight="1">
      <c r="A23" s="1" t="n"/>
      <c r="B23" s="130" t="inlineStr">
        <is>
          <t>Depreciación y amortización</t>
        </is>
      </c>
      <c r="C23" s="131">
        <f>+OPEX!$E$8</f>
        <v/>
      </c>
      <c r="D23" s="131">
        <f>+OPEX!$E$8</f>
        <v/>
      </c>
      <c r="E23" s="131">
        <f>+OPEX!$E$8</f>
        <v/>
      </c>
      <c r="F23" s="131">
        <f>+OPEX!$E$8</f>
        <v/>
      </c>
      <c r="G23" s="131">
        <f>+OPEX!$E$8</f>
        <v/>
      </c>
      <c r="H23" s="131">
        <f>+OPEX!$E$8</f>
        <v/>
      </c>
      <c r="I23" s="131">
        <f>+OPEX!$E$8</f>
        <v/>
      </c>
      <c r="J23" s="131">
        <f>+OPEX!$E$8</f>
        <v/>
      </c>
      <c r="K23" s="131">
        <f>+OPEX!$E$8</f>
        <v/>
      </c>
      <c r="L23" s="131">
        <f>+OPEX!$E$8</f>
        <v/>
      </c>
      <c r="M23" s="131">
        <f>+OPEX!$E$8</f>
        <v/>
      </c>
      <c r="N23" s="131">
        <f>+OPEX!$E$8</f>
        <v/>
      </c>
      <c r="O23" s="131">
        <f>+SUM(C23:N23)</f>
        <v/>
      </c>
      <c r="P23" s="131">
        <f>+OPEX!$E$8</f>
        <v/>
      </c>
      <c r="Q23" s="131">
        <f>+OPEX!$E$8</f>
        <v/>
      </c>
      <c r="R23" s="131">
        <f>+OPEX!$E$8</f>
        <v/>
      </c>
      <c r="S23" s="131">
        <f>+OPEX!$E$8</f>
        <v/>
      </c>
      <c r="T23" s="131">
        <f>+OPEX!$E$8</f>
        <v/>
      </c>
      <c r="U23" s="131">
        <f>+OPEX!$E$8</f>
        <v/>
      </c>
      <c r="V23" s="131">
        <f>+OPEX!$E$8</f>
        <v/>
      </c>
      <c r="W23" s="131">
        <f>+OPEX!$E$8</f>
        <v/>
      </c>
      <c r="X23" s="131">
        <f>+OPEX!$E$8</f>
        <v/>
      </c>
      <c r="Y23" s="131">
        <f>+OPEX!$E$8</f>
        <v/>
      </c>
      <c r="Z23" s="131">
        <f>+OPEX!$E$8</f>
        <v/>
      </c>
      <c r="AA23" s="131">
        <f>+OPEX!$E$8</f>
        <v/>
      </c>
      <c r="AB23" s="131">
        <f>+SUM(P23:AA23)</f>
        <v/>
      </c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</row>
    <row r="24" ht="14.25" customHeight="1">
      <c r="A24" s="1" t="n"/>
      <c r="B24" s="130" t="inlineStr">
        <is>
          <t>Base gravable</t>
        </is>
      </c>
      <c r="C24" s="131">
        <f>+C21-C23</f>
        <v/>
      </c>
      <c r="D24" s="131">
        <f>+D21-D23</f>
        <v/>
      </c>
      <c r="E24" s="131">
        <f>+E21-E23</f>
        <v/>
      </c>
      <c r="F24" s="131">
        <f>+F21-F23</f>
        <v/>
      </c>
      <c r="G24" s="131">
        <f>+G21-G23</f>
        <v/>
      </c>
      <c r="H24" s="131">
        <f>+H21-H23</f>
        <v/>
      </c>
      <c r="I24" s="131">
        <f>+I21-I23</f>
        <v/>
      </c>
      <c r="J24" s="131">
        <f>+J21-J23</f>
        <v/>
      </c>
      <c r="K24" s="131">
        <f>+K21-K23</f>
        <v/>
      </c>
      <c r="L24" s="131">
        <f>+L21-L23</f>
        <v/>
      </c>
      <c r="M24" s="131">
        <f>+M21-M23</f>
        <v/>
      </c>
      <c r="N24" s="131">
        <f>+N21-N23</f>
        <v/>
      </c>
      <c r="O24" s="131">
        <f>+O21-O23</f>
        <v/>
      </c>
      <c r="P24" s="131">
        <f>+P21-P23</f>
        <v/>
      </c>
      <c r="Q24" s="131">
        <f>+Q21-Q23</f>
        <v/>
      </c>
      <c r="R24" s="131">
        <f>+R21-R23</f>
        <v/>
      </c>
      <c r="S24" s="131">
        <f>+S21-S23</f>
        <v/>
      </c>
      <c r="T24" s="131">
        <f>+T21-T23</f>
        <v/>
      </c>
      <c r="U24" s="131">
        <f>+U21-U23</f>
        <v/>
      </c>
      <c r="V24" s="131">
        <f>+V21-V23</f>
        <v/>
      </c>
      <c r="W24" s="131">
        <f>+W21-W23</f>
        <v/>
      </c>
      <c r="X24" s="131">
        <f>+X21-X23</f>
        <v/>
      </c>
      <c r="Y24" s="131">
        <f>+Y21-Y23</f>
        <v/>
      </c>
      <c r="Z24" s="131">
        <f>+Z21-Z23</f>
        <v/>
      </c>
      <c r="AA24" s="131">
        <f>+AA21-AA23</f>
        <v/>
      </c>
      <c r="AB24" s="131">
        <f>+AB21-AB23</f>
        <v/>
      </c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</row>
    <row r="25" ht="14.25" customHeight="1">
      <c r="A25" s="1" t="n"/>
      <c r="B25" s="130" t="inlineStr">
        <is>
          <t>Impuestos</t>
        </is>
      </c>
      <c r="C25" s="131">
        <f>+IF(C24&gt;0,C24*$D$2,0)</f>
        <v/>
      </c>
      <c r="D25" s="131">
        <f>+IF(D24&gt;0,D24*$D$2,0)</f>
        <v/>
      </c>
      <c r="E25" s="131">
        <f>+IF(E24&gt;0,E24*$D$2,0)</f>
        <v/>
      </c>
      <c r="F25" s="131">
        <f>+IF(F24&gt;0,F24*$D$2,0)</f>
        <v/>
      </c>
      <c r="G25" s="131">
        <f>+IF(G24&gt;0,G24*$D$2,0)</f>
        <v/>
      </c>
      <c r="H25" s="131">
        <f>+IF(H24&gt;0,H24*$D$2,0)</f>
        <v/>
      </c>
      <c r="I25" s="131">
        <f>+IF(I24&gt;0,I24*$D$2,0)</f>
        <v/>
      </c>
      <c r="J25" s="131">
        <f>+IF(J24&gt;0,J24*$D$2,0)</f>
        <v/>
      </c>
      <c r="K25" s="131">
        <f>+IF(K24&gt;0,K24*$D$2,0)</f>
        <v/>
      </c>
      <c r="L25" s="131">
        <f>+IF(L24&gt;0,L24*$D$2,0)</f>
        <v/>
      </c>
      <c r="M25" s="131">
        <f>+IF(M24&gt;0,M24*$D$2,0)</f>
        <v/>
      </c>
      <c r="N25" s="131">
        <f>+IF(N24&gt;0,N24*$D$2,0)</f>
        <v/>
      </c>
      <c r="O25" s="131">
        <f>+SUM(C25:N25)</f>
        <v/>
      </c>
      <c r="P25" s="131">
        <f>+IF(P24&gt;0,P24*$D$2,0)</f>
        <v/>
      </c>
      <c r="Q25" s="131">
        <f>+IF(Q24&gt;0,Q24*$D$2,0)</f>
        <v/>
      </c>
      <c r="R25" s="131">
        <f>+IF(R24&gt;0,R24*$D$2,0)</f>
        <v/>
      </c>
      <c r="S25" s="131">
        <f>+IF(S24&gt;0,S24*$D$2,0)</f>
        <v/>
      </c>
      <c r="T25" s="131">
        <f>+IF(T24&gt;0,T24*$D$2,0)</f>
        <v/>
      </c>
      <c r="U25" s="131">
        <f>+IF(U24&gt;0,U24*$D$2,0)</f>
        <v/>
      </c>
      <c r="V25" s="131">
        <f>+IF(V24&gt;0,V24*$D$2,0)</f>
        <v/>
      </c>
      <c r="W25" s="131">
        <f>+IF(W24&gt;0,W24*$D$2,0)</f>
        <v/>
      </c>
      <c r="X25" s="131">
        <f>+IF(X24&gt;0,X24*$D$2,0)</f>
        <v/>
      </c>
      <c r="Y25" s="131">
        <f>+IF(Y24&gt;0,Y24*$D$2,0)</f>
        <v/>
      </c>
      <c r="Z25" s="131">
        <f>+IF(Z24&gt;0,Z24*$D$2,0)</f>
        <v/>
      </c>
      <c r="AA25" s="131">
        <f>+IF(AA24&gt;0,AA24*$D$2,0)</f>
        <v/>
      </c>
      <c r="AB25" s="131">
        <f>+SUM(P25:AA25)</f>
        <v/>
      </c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 ht="14.25" customHeight="1">
      <c r="A26" s="1" t="n"/>
      <c r="B26" s="110" t="inlineStr">
        <is>
          <t>Resultado neto</t>
        </is>
      </c>
      <c r="C26" s="132">
        <f>+C21-C25</f>
        <v/>
      </c>
      <c r="D26" s="132">
        <f>+D21-D25</f>
        <v/>
      </c>
      <c r="E26" s="132">
        <f>+E21-E25</f>
        <v/>
      </c>
      <c r="F26" s="132">
        <f>+F21-F25</f>
        <v/>
      </c>
      <c r="G26" s="132">
        <f>+G21-G25</f>
        <v/>
      </c>
      <c r="H26" s="132">
        <f>+H21-H25</f>
        <v/>
      </c>
      <c r="I26" s="132">
        <f>+I21-I25</f>
        <v/>
      </c>
      <c r="J26" s="132">
        <f>+J21-J25</f>
        <v/>
      </c>
      <c r="K26" s="132">
        <f>+K21-K25</f>
        <v/>
      </c>
      <c r="L26" s="132">
        <f>+L21-L25</f>
        <v/>
      </c>
      <c r="M26" s="132">
        <f>+M21-M25</f>
        <v/>
      </c>
      <c r="N26" s="132">
        <f>+N21-N25</f>
        <v/>
      </c>
      <c r="O26" s="133">
        <f>+O21-O25</f>
        <v/>
      </c>
      <c r="P26" s="132">
        <f>+P21-P25</f>
        <v/>
      </c>
      <c r="Q26" s="132">
        <f>+Q21-Q25</f>
        <v/>
      </c>
      <c r="R26" s="132">
        <f>+R21-R25</f>
        <v/>
      </c>
      <c r="S26" s="132">
        <f>+S21-S25</f>
        <v/>
      </c>
      <c r="T26" s="132">
        <f>+T21-T25</f>
        <v/>
      </c>
      <c r="U26" s="132">
        <f>+U21-U25</f>
        <v/>
      </c>
      <c r="V26" s="132">
        <f>+V21-V25</f>
        <v/>
      </c>
      <c r="W26" s="132">
        <f>+W21-W25</f>
        <v/>
      </c>
      <c r="X26" s="132">
        <f>+X21-X25</f>
        <v/>
      </c>
      <c r="Y26" s="132">
        <f>+Y21-Y25</f>
        <v/>
      </c>
      <c r="Z26" s="132">
        <f>+Z21-Z25</f>
        <v/>
      </c>
      <c r="AA26" s="132">
        <f>+AA21-AA25</f>
        <v/>
      </c>
      <c r="AB26" s="133">
        <f>+AB21-AB25</f>
        <v/>
      </c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 ht="14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34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34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 ht="14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34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34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 ht="14.25" customHeight="1">
      <c r="A29" s="1" t="n"/>
      <c r="B29" s="135" t="inlineStr">
        <is>
          <t>Flujo De caja</t>
        </is>
      </c>
      <c r="C29" s="136" t="n"/>
      <c r="D29" s="137" t="n"/>
      <c r="E29" s="137" t="n"/>
      <c r="F29" s="137" t="n"/>
      <c r="G29" s="137" t="n"/>
      <c r="H29" s="137" t="n"/>
      <c r="I29" s="137" t="n"/>
      <c r="J29" s="137" t="n"/>
      <c r="K29" s="137" t="n"/>
      <c r="L29" s="137" t="n"/>
      <c r="M29" s="137" t="n"/>
      <c r="N29" s="137" t="n"/>
      <c r="O29" s="138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8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 ht="14.25" customHeight="1">
      <c r="A30" s="1" t="n"/>
      <c r="B30" s="1" t="inlineStr">
        <is>
          <t>Necesidad de capital de trabajo</t>
        </is>
      </c>
      <c r="C30" s="267" t="n">
        <v>-1400000</v>
      </c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134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34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 ht="14.25" customHeight="1">
      <c r="A31" s="1" t="n"/>
      <c r="B31" s="1" t="inlineStr">
        <is>
          <t>Resultado de flujo</t>
        </is>
      </c>
      <c r="C31" s="30">
        <f>+C26+C23</f>
        <v/>
      </c>
      <c r="D31" s="30">
        <f>+D26+D23</f>
        <v/>
      </c>
      <c r="E31" s="30">
        <f>+E26+E23</f>
        <v/>
      </c>
      <c r="F31" s="30">
        <f>+F26+F23</f>
        <v/>
      </c>
      <c r="G31" s="30">
        <f>+G26+G23</f>
        <v/>
      </c>
      <c r="H31" s="30">
        <f>+H26+H23</f>
        <v/>
      </c>
      <c r="I31" s="30">
        <f>+I26+I23</f>
        <v/>
      </c>
      <c r="J31" s="30">
        <f>+J26+J23</f>
        <v/>
      </c>
      <c r="K31" s="30">
        <f>+K26+K23</f>
        <v/>
      </c>
      <c r="L31" s="30">
        <f>+L26+L23</f>
        <v/>
      </c>
      <c r="M31" s="30">
        <f>+M26+M23</f>
        <v/>
      </c>
      <c r="N31" s="30">
        <f>+N26+N23</f>
        <v/>
      </c>
      <c r="O31" s="113">
        <f>+N31</f>
        <v/>
      </c>
      <c r="P31" s="30">
        <f>+P26+P23</f>
        <v/>
      </c>
      <c r="Q31" s="30">
        <f>+Q26+Q23</f>
        <v/>
      </c>
      <c r="R31" s="30">
        <f>+R26+R23</f>
        <v/>
      </c>
      <c r="S31" s="30">
        <f>+S26+S23</f>
        <v/>
      </c>
      <c r="T31" s="30">
        <f>+T26+T23</f>
        <v/>
      </c>
      <c r="U31" s="30">
        <f>+U26+U23</f>
        <v/>
      </c>
      <c r="V31" s="30">
        <f>+V26+V23</f>
        <v/>
      </c>
      <c r="W31" s="30">
        <f>+W26+W23</f>
        <v/>
      </c>
      <c r="X31" s="30">
        <f>+X26+X23</f>
        <v/>
      </c>
      <c r="Y31" s="30">
        <f>+Y26+Y23</f>
        <v/>
      </c>
      <c r="Z31" s="30">
        <f>+Z26+Z23</f>
        <v/>
      </c>
      <c r="AA31" s="30">
        <f>+AA26+AA23</f>
        <v/>
      </c>
      <c r="AB31" s="113">
        <f>+AA31</f>
        <v/>
      </c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 ht="14.25" customHeight="1">
      <c r="A32" s="1" t="n"/>
      <c r="B32" s="110" t="inlineStr">
        <is>
          <t>Balance</t>
        </is>
      </c>
      <c r="C32" s="132">
        <f>+C31+C30</f>
        <v/>
      </c>
      <c r="D32" s="132">
        <f>+C32+D31</f>
        <v/>
      </c>
      <c r="E32" s="132">
        <f>+D32+E31</f>
        <v/>
      </c>
      <c r="F32" s="132">
        <f>+E32+F31</f>
        <v/>
      </c>
      <c r="G32" s="132">
        <f>+F32+G31</f>
        <v/>
      </c>
      <c r="H32" s="132">
        <f>+G32+H31</f>
        <v/>
      </c>
      <c r="I32" s="132">
        <f>+H32+I31</f>
        <v/>
      </c>
      <c r="J32" s="132">
        <f>+I32+J31</f>
        <v/>
      </c>
      <c r="K32" s="132">
        <f>+J32+K31</f>
        <v/>
      </c>
      <c r="L32" s="132">
        <f>+K32+L31</f>
        <v/>
      </c>
      <c r="M32" s="132">
        <f>+L32+M31</f>
        <v/>
      </c>
      <c r="N32" s="132">
        <f>+M32+N31</f>
        <v/>
      </c>
      <c r="O32" s="113">
        <f>+N32</f>
        <v/>
      </c>
      <c r="P32" s="132">
        <f>+N32+P31</f>
        <v/>
      </c>
      <c r="Q32" s="132">
        <f>+P32+Q31</f>
        <v/>
      </c>
      <c r="R32" s="132">
        <f>+Q32+R31</f>
        <v/>
      </c>
      <c r="S32" s="132">
        <f>+R32+S31</f>
        <v/>
      </c>
      <c r="T32" s="132">
        <f>+S32+T31</f>
        <v/>
      </c>
      <c r="U32" s="132">
        <f>+T32+U31</f>
        <v/>
      </c>
      <c r="V32" s="132">
        <f>+U32+V31</f>
        <v/>
      </c>
      <c r="W32" s="132">
        <f>+V32+W31</f>
        <v/>
      </c>
      <c r="X32" s="132">
        <f>+W32+X31</f>
        <v/>
      </c>
      <c r="Y32" s="132">
        <f>+X32+Y31</f>
        <v/>
      </c>
      <c r="Z32" s="132">
        <f>+Y32+Z31</f>
        <v/>
      </c>
      <c r="AA32" s="132">
        <f>+Z32+AA31</f>
        <v/>
      </c>
      <c r="AB32" s="113">
        <f>+AA32</f>
        <v/>
      </c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 ht="14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 ht="14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 ht="14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1" t="n"/>
      <c r="AD35" s="30" t="n"/>
      <c r="AE35" s="1" t="n"/>
      <c r="AF35" s="30" t="n"/>
      <c r="AG35" s="1" t="n"/>
      <c r="AH35" s="30" t="n"/>
      <c r="AI35" s="1" t="n"/>
      <c r="AJ35" s="30" t="n"/>
      <c r="AK35" s="1" t="n"/>
      <c r="AL35" s="30" t="n"/>
    </row>
    <row r="36" ht="14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 ht="14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 ht="14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t="14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t="14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</row>
    <row r="41" ht="14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</row>
    <row r="42" ht="14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</row>
    <row r="43" ht="14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</row>
    <row r="44" ht="14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</row>
    <row r="45" ht="14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</row>
    <row r="46" ht="14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</row>
    <row r="47" ht="14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</row>
    <row r="48" ht="14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</row>
    <row r="49" ht="14.2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</row>
    <row r="50" ht="14.2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</row>
    <row r="51" ht="14.2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</row>
    <row r="52" ht="14.2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</row>
    <row r="53" ht="14.2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</row>
    <row r="54" ht="14.2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</row>
    <row r="55" ht="14.2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 ht="14.2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  <row r="57" ht="14.2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</row>
    <row r="58" ht="14.2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</row>
    <row r="59" ht="14.2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</row>
    <row r="60" ht="14.2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</row>
    <row r="61" ht="14.2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</row>
    <row r="62" ht="14.2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</row>
    <row r="63" ht="14.2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</row>
    <row r="64" ht="14.2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</row>
    <row r="65" ht="14.2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</row>
    <row r="66" ht="14.2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</row>
    <row r="67" ht="14.2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</row>
    <row r="68" ht="14.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</row>
    <row r="69" ht="14.2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</row>
    <row r="70" ht="14.2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</row>
    <row r="71" ht="14.2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</row>
    <row r="72" ht="14.2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</row>
    <row r="73" ht="14.2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</row>
    <row r="74" ht="14.2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</row>
    <row r="75" ht="14.2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</row>
    <row r="76" ht="14.2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</row>
    <row r="77" ht="14.2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</row>
    <row r="78" ht="14.2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</row>
    <row r="79" ht="14.2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</row>
    <row r="80" ht="14.2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</row>
    <row r="81" ht="14.2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</row>
    <row r="82" ht="14.2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</row>
    <row r="83" ht="14.2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</row>
    <row r="84" ht="14.2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</row>
    <row r="85" ht="14.2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</row>
    <row r="86" ht="14.2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</row>
    <row r="87" ht="14.2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</row>
    <row r="88" ht="14.2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</row>
    <row r="89" ht="14.2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</row>
    <row r="90" ht="14.2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</row>
    <row r="91" ht="14.2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</row>
    <row r="92" ht="14.2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</row>
    <row r="93" ht="14.2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</row>
    <row r="94" ht="14.2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</row>
    <row r="95" ht="14.2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</row>
    <row r="96" ht="14.2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</row>
    <row r="97" ht="14.2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</row>
    <row r="98" ht="14.2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</row>
    <row r="99" ht="14.2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</row>
    <row r="100" ht="14.2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</row>
    <row r="101" ht="14.2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</row>
    <row r="102" ht="14.2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</row>
    <row r="103" ht="14.2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</row>
    <row r="104" ht="14.2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</row>
    <row r="105" ht="14.2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</row>
    <row r="106" ht="14.2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</row>
    <row r="107" ht="14.2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</row>
    <row r="108" ht="14.2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</row>
    <row r="109" ht="14.2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</row>
    <row r="110" ht="14.2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</row>
    <row r="111" ht="14.2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</row>
    <row r="112" ht="14.2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</row>
    <row r="113" ht="14.2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</row>
    <row r="114" ht="14.2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</row>
    <row r="115" ht="14.2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</row>
    <row r="116" ht="14.2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</row>
    <row r="117" ht="14.2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</row>
    <row r="118" ht="14.2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</row>
    <row r="119" ht="14.2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</row>
    <row r="120" ht="14.2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</row>
    <row r="121" ht="14.2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</row>
    <row r="122" ht="14.2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</row>
    <row r="123" ht="14.2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</row>
    <row r="124" ht="14.2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</row>
    <row r="125" ht="14.2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</row>
    <row r="126" ht="14.2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</row>
    <row r="127" ht="14.2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</row>
    <row r="128" ht="14.2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</row>
    <row r="129" ht="14.2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</row>
    <row r="130" ht="14.2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</row>
    <row r="131" ht="14.2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</row>
    <row r="132" ht="14.2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</row>
    <row r="133" ht="14.2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</row>
    <row r="134" ht="14.2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</row>
    <row r="135" ht="14.2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</row>
    <row r="136" ht="14.2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</row>
    <row r="137" ht="14.2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</row>
    <row r="138" ht="14.2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</row>
    <row r="139" ht="14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</row>
    <row r="140" ht="14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</row>
    <row r="141" ht="14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</row>
    <row r="142" ht="14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</row>
    <row r="143" ht="14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</row>
    <row r="144" ht="14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</row>
    <row r="145" ht="14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</row>
    <row r="146" ht="14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</row>
    <row r="147" ht="14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</row>
    <row r="148" ht="14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</row>
    <row r="149" ht="14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</row>
    <row r="150" ht="14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</row>
    <row r="151" ht="14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</row>
    <row r="152" ht="14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</row>
    <row r="153" ht="14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</row>
    <row r="154" ht="14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</row>
    <row r="155" ht="14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</row>
    <row r="156" ht="14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</row>
    <row r="157" ht="14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</row>
    <row r="158" ht="14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</row>
    <row r="159" ht="14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</row>
    <row r="160" ht="14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</row>
    <row r="161" ht="14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</row>
    <row r="162" ht="14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</row>
    <row r="163" ht="14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</row>
    <row r="164" ht="14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</row>
    <row r="165" ht="14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</row>
    <row r="166" ht="14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</row>
    <row r="167" ht="14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</row>
    <row r="168" ht="14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</row>
    <row r="169" ht="14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</row>
    <row r="170" ht="14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</row>
    <row r="171" ht="14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</row>
    <row r="172" ht="14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</row>
    <row r="173" ht="14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</row>
    <row r="174" ht="14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</row>
    <row r="175" ht="14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</row>
    <row r="176" ht="14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</row>
    <row r="177" ht="14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</row>
    <row r="178" ht="14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</row>
    <row r="179" ht="14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</row>
    <row r="181" ht="14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</row>
    <row r="182" ht="14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</row>
    <row r="183" ht="14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</row>
    <row r="184" ht="14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</row>
    <row r="185" ht="14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</row>
    <row r="186" ht="14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</row>
    <row r="187" ht="14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</row>
    <row r="188" ht="14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</row>
    <row r="189" ht="14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</row>
    <row r="190" ht="14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</row>
    <row r="191" ht="14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</row>
    <row r="192" ht="14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</row>
    <row r="193" ht="14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</row>
    <row r="194" ht="14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</row>
    <row r="195" ht="14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</row>
    <row r="196" ht="14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</row>
    <row r="197" ht="14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</row>
    <row r="198" ht="14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</row>
    <row r="199" ht="14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</row>
    <row r="200" ht="14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</row>
    <row r="201" ht="14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</row>
    <row r="202" ht="14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</row>
    <row r="203" ht="14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</row>
    <row r="204" ht="14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</row>
    <row r="205" ht="14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</row>
    <row r="206" ht="14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</row>
    <row r="207" ht="14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</row>
    <row r="208" ht="14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</row>
    <row r="209" ht="14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</row>
    <row r="210" ht="14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</row>
    <row r="211" ht="14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</row>
    <row r="212" ht="14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</row>
    <row r="213" ht="14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</row>
    <row r="214" ht="14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</row>
    <row r="215" ht="14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</row>
    <row r="216" ht="14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</row>
    <row r="217" ht="14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</row>
    <row r="218" ht="14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</row>
    <row r="219" ht="14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</row>
    <row r="220" ht="14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</row>
    <row r="221" ht="14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</row>
    <row r="222" ht="14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</row>
    <row r="223" ht="14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</row>
    <row r="224" ht="14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</row>
    <row r="225" ht="14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</row>
    <row r="226" ht="14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</row>
    <row r="227" ht="14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</row>
    <row r="228" ht="14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</row>
    <row r="229" ht="14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</row>
    <row r="230" ht="14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</row>
    <row r="231" ht="14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</row>
    <row r="232" ht="14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</row>
    <row r="233" ht="14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</row>
    <row r="234" ht="14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</row>
    <row r="235" ht="14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</row>
    <row r="236" ht="14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</row>
    <row r="237" ht="14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</row>
    <row r="238" ht="14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</row>
    <row r="239" ht="14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</row>
    <row r="240" ht="14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</row>
    <row r="241" ht="14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</row>
    <row r="242" ht="14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</row>
    <row r="243" ht="14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</row>
    <row r="244" ht="14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</row>
    <row r="245" ht="14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</row>
    <row r="246" ht="14.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</row>
    <row r="247" ht="14.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</row>
    <row r="248" ht="14.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</row>
    <row r="249" ht="14.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</row>
    <row r="250" ht="14.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</row>
    <row r="251" ht="14.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</row>
    <row r="252" ht="14.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</row>
    <row r="253" ht="14.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</row>
    <row r="254" ht="14.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</row>
    <row r="255" ht="14.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</row>
    <row r="256" ht="14.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</row>
    <row r="257" ht="14.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</row>
    <row r="258" ht="14.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</row>
    <row r="259" ht="14.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</row>
    <row r="260" ht="14.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</row>
    <row r="261" ht="14.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</row>
    <row r="262" ht="14.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</row>
    <row r="263" ht="14.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</row>
    <row r="264" ht="14.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</row>
    <row r="265" ht="14.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</row>
    <row r="266" ht="14.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</row>
    <row r="267" ht="14.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</row>
    <row r="268" ht="14.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</row>
    <row r="269" ht="14.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</row>
    <row r="270" ht="14.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</row>
    <row r="271" ht="14.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</row>
    <row r="272" ht="14.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</row>
    <row r="273" ht="14.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</row>
    <row r="274" ht="14.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</row>
    <row r="275" ht="14.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</row>
    <row r="276" ht="14.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</row>
    <row r="277" ht="14.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</row>
    <row r="278" ht="14.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</row>
    <row r="279" ht="14.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</row>
    <row r="280" ht="14.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</row>
    <row r="281" ht="14.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</row>
    <row r="282" ht="14.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</row>
    <row r="283" ht="14.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</row>
    <row r="284" ht="14.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</row>
    <row r="285" ht="14.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</row>
    <row r="286" ht="14.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</row>
    <row r="287" ht="14.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</row>
    <row r="288" ht="14.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</row>
    <row r="289" ht="14.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</row>
    <row r="290" ht="14.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</row>
    <row r="291" ht="14.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</row>
    <row r="292" ht="14.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</row>
    <row r="293" ht="14.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</row>
    <row r="294" ht="14.2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</row>
    <row r="295" ht="14.2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</row>
    <row r="296" ht="14.2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</row>
    <row r="297" ht="14.2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</row>
    <row r="298" ht="14.2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</row>
    <row r="299" ht="14.2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</row>
    <row r="300" ht="14.2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</row>
    <row r="301" ht="14.2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</row>
    <row r="302" ht="14.2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</row>
    <row r="303" ht="14.2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</row>
    <row r="304" ht="14.2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</row>
    <row r="305" ht="14.2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</row>
    <row r="306" ht="14.2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</row>
    <row r="307" ht="14.2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</row>
    <row r="308" ht="14.2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</row>
    <row r="309" ht="14.2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</row>
    <row r="310" ht="14.2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</row>
    <row r="311" ht="14.2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</row>
    <row r="312" ht="14.2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</row>
    <row r="313" ht="14.2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</row>
    <row r="314" ht="14.2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</row>
    <row r="315" ht="14.2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</row>
    <row r="316" ht="14.2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</row>
    <row r="317" ht="14.2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</row>
    <row r="318" ht="14.2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</row>
    <row r="319" ht="14.2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</row>
    <row r="320" ht="14.2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</row>
    <row r="321" ht="14.2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</row>
    <row r="322" ht="14.2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</row>
    <row r="323" ht="14.2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</row>
    <row r="324" ht="14.2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</row>
    <row r="325" ht="14.2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</row>
    <row r="326" ht="14.2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</row>
    <row r="327" ht="14.2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</row>
    <row r="328" ht="14.2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</row>
    <row r="329" ht="14.2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</row>
    <row r="330" ht="14.2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</row>
    <row r="331" ht="14.2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</row>
    <row r="332" ht="14.2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</row>
    <row r="333" ht="14.2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</row>
    <row r="334" ht="14.2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</row>
    <row r="335" ht="14.2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</row>
    <row r="336" ht="14.2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</row>
    <row r="337" ht="14.2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</row>
    <row r="338" ht="14.2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</row>
    <row r="339" ht="14.2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</row>
    <row r="340" ht="14.2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</row>
    <row r="341" ht="14.2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</row>
    <row r="342" ht="14.2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</row>
    <row r="343" ht="14.2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</row>
    <row r="344" ht="14.2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</row>
    <row r="345" ht="14.2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</row>
    <row r="346" ht="14.2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</row>
    <row r="347" ht="14.2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</row>
    <row r="348" ht="14.2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</row>
    <row r="349" ht="14.2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</row>
    <row r="350" ht="14.2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</row>
    <row r="351" ht="14.2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</row>
    <row r="352" ht="14.2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</row>
    <row r="353" ht="14.2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</row>
    <row r="354" ht="14.2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</row>
    <row r="355" ht="14.2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</row>
    <row r="356" ht="14.2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</row>
    <row r="357" ht="14.2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</row>
    <row r="358" ht="14.2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</row>
    <row r="359" ht="14.2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</row>
    <row r="360" ht="14.2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</row>
    <row r="361" ht="14.2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</row>
    <row r="362" ht="14.2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</row>
    <row r="363" ht="14.2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</row>
    <row r="364" ht="14.2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</row>
    <row r="365" ht="14.2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</row>
    <row r="366" ht="14.2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</row>
    <row r="367" ht="14.2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</row>
    <row r="368" ht="14.2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</row>
    <row r="369" ht="14.2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</row>
    <row r="370" ht="14.2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</row>
    <row r="371" ht="14.2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</row>
    <row r="372" ht="14.2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</row>
    <row r="373" ht="14.2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</row>
    <row r="374" ht="14.2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</row>
    <row r="375" ht="14.2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</row>
    <row r="376" ht="14.2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</row>
    <row r="377" ht="14.2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</row>
    <row r="378" ht="14.2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</row>
    <row r="379" ht="14.2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</row>
    <row r="380" ht="14.2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</row>
    <row r="381" ht="14.2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</row>
    <row r="382" ht="14.2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</row>
    <row r="383" ht="14.2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</row>
    <row r="384" ht="14.2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</row>
    <row r="385" ht="14.2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</row>
    <row r="386" ht="14.2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</row>
    <row r="387" ht="14.2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</row>
    <row r="388" ht="14.2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</row>
    <row r="389" ht="14.2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</row>
    <row r="390" ht="14.2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</row>
    <row r="391" ht="14.2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</row>
    <row r="392" ht="14.2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</row>
    <row r="393" ht="14.2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</row>
    <row r="394" ht="14.2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</row>
    <row r="395" ht="14.2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</row>
    <row r="396" ht="14.2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</row>
    <row r="397" ht="14.2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</row>
    <row r="398" ht="14.2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</row>
    <row r="399" ht="14.2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</row>
    <row r="400" ht="14.2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</row>
    <row r="401" ht="14.2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</row>
    <row r="402" ht="14.2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</row>
    <row r="403" ht="14.2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</row>
    <row r="404" ht="14.2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</row>
    <row r="405" ht="14.2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</row>
    <row r="406" ht="14.2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</row>
    <row r="407" ht="14.2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</row>
    <row r="408" ht="14.2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</row>
    <row r="409" ht="14.2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</row>
    <row r="410" ht="14.2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</row>
    <row r="411" ht="14.2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</row>
    <row r="412" ht="14.2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</row>
    <row r="413" ht="14.2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</row>
    <row r="414" ht="14.2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</row>
    <row r="415" ht="14.2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</row>
    <row r="416" ht="14.2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</row>
    <row r="417" ht="14.2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</row>
    <row r="418" ht="14.2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</row>
    <row r="419" ht="14.2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</row>
    <row r="420" ht="14.2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</row>
    <row r="421" ht="14.2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</row>
    <row r="422" ht="14.2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</row>
    <row r="423" ht="14.2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</row>
    <row r="424" ht="14.2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</row>
    <row r="425" ht="14.2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</row>
    <row r="426" ht="14.2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</row>
    <row r="427" ht="14.2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</row>
    <row r="428" ht="14.2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</row>
    <row r="429" ht="14.2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</row>
    <row r="430" ht="14.2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</row>
    <row r="431" ht="14.2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</row>
    <row r="432" ht="14.2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</row>
    <row r="433" ht="14.2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</row>
    <row r="434" ht="14.2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</row>
    <row r="435" ht="14.2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</row>
    <row r="436" ht="14.2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</row>
    <row r="437" ht="14.2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</row>
    <row r="438" ht="14.2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</row>
    <row r="439" ht="14.2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</row>
    <row r="440" ht="14.2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</row>
    <row r="441" ht="14.2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</row>
    <row r="442" ht="14.2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</row>
    <row r="443" ht="14.2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</row>
    <row r="444" ht="14.2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</row>
    <row r="445" ht="14.2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</row>
    <row r="446" ht="14.2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</row>
    <row r="447" ht="14.2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</row>
    <row r="448" ht="14.2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</row>
    <row r="449" ht="14.2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</row>
    <row r="450" ht="14.2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</row>
    <row r="451" ht="14.2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</row>
    <row r="452" ht="14.2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</row>
    <row r="453" ht="14.2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</row>
    <row r="454" ht="14.2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</row>
    <row r="455" ht="14.2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</row>
    <row r="456" ht="14.2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</row>
    <row r="457" ht="14.2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</row>
    <row r="458" ht="14.2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</row>
    <row r="459" ht="14.2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</row>
    <row r="460" ht="14.2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</row>
    <row r="461" ht="14.2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</row>
    <row r="462" ht="14.2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</row>
    <row r="463" ht="14.2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</row>
    <row r="464" ht="14.2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</row>
    <row r="465" ht="14.2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</row>
    <row r="466" ht="14.2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</row>
    <row r="467" ht="14.2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</row>
    <row r="468" ht="14.2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</row>
    <row r="469" ht="14.2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</row>
    <row r="470" ht="14.2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</row>
    <row r="471" ht="14.2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</row>
    <row r="472" ht="14.2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</row>
    <row r="473" ht="14.2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</row>
    <row r="474" ht="14.2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</row>
    <row r="475" ht="14.2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</row>
    <row r="476" ht="14.2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</row>
    <row r="477" ht="14.2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</row>
    <row r="478" ht="14.2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</row>
    <row r="479" ht="14.2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</row>
    <row r="480" ht="14.2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</row>
    <row r="481" ht="14.2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</row>
    <row r="482" ht="14.2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</row>
    <row r="483" ht="14.2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</row>
    <row r="484" ht="14.2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</row>
    <row r="485" ht="14.2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</row>
    <row r="486" ht="14.2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</row>
    <row r="487" ht="14.2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</row>
    <row r="488" ht="14.2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</row>
    <row r="489" ht="14.2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</row>
    <row r="490" ht="14.2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</row>
    <row r="491" ht="14.2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</row>
    <row r="492" ht="14.2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</row>
    <row r="493" ht="14.2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</row>
    <row r="494" ht="14.2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</row>
    <row r="495" ht="14.2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</row>
    <row r="496" ht="14.2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</row>
    <row r="497" ht="14.2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</row>
    <row r="498" ht="14.2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</row>
    <row r="499" ht="14.2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</row>
    <row r="500" ht="14.2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</row>
    <row r="501" ht="14.2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</row>
    <row r="502" ht="14.2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</row>
    <row r="503" ht="14.2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</row>
    <row r="504" ht="14.2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</row>
    <row r="505" ht="14.2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</row>
    <row r="506" ht="14.2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</row>
    <row r="507" ht="14.2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</row>
    <row r="508" ht="14.2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</row>
    <row r="509" ht="14.2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</row>
    <row r="510" ht="14.2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</row>
    <row r="511" ht="14.2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</row>
    <row r="512" ht="14.2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</row>
    <row r="513" ht="14.2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</row>
    <row r="514" ht="14.2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</row>
    <row r="515" ht="14.2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</row>
    <row r="516" ht="14.2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</row>
    <row r="517" ht="14.2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</row>
    <row r="518" ht="14.2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</row>
    <row r="519" ht="14.2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</row>
    <row r="520" ht="14.2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</row>
    <row r="521" ht="14.2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</row>
    <row r="522" ht="14.2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</row>
    <row r="523" ht="14.2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</row>
    <row r="524" ht="14.2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</row>
    <row r="525" ht="14.2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</row>
    <row r="526" ht="14.2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</row>
    <row r="527" ht="14.2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</row>
    <row r="528" ht="14.2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</row>
    <row r="529" ht="14.2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</row>
    <row r="530" ht="14.2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</row>
    <row r="531" ht="14.2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</row>
    <row r="532" ht="14.2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</row>
    <row r="533" ht="14.2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</row>
    <row r="534" ht="14.2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</row>
    <row r="535" ht="14.2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</row>
    <row r="536" ht="14.2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</row>
    <row r="537" ht="14.2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</row>
    <row r="538" ht="14.2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</row>
    <row r="539" ht="14.2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</row>
    <row r="540" ht="14.2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</row>
    <row r="541" ht="14.2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</row>
    <row r="542" ht="14.2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</row>
    <row r="543" ht="14.2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</row>
    <row r="544" ht="14.2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</row>
    <row r="545" ht="14.2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</row>
    <row r="546" ht="14.2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</row>
    <row r="547" ht="14.2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</row>
    <row r="548" ht="14.2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</row>
    <row r="549" ht="14.2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</row>
    <row r="550" ht="14.2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</row>
    <row r="551" ht="14.2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</row>
    <row r="552" ht="14.2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</row>
    <row r="553" ht="14.2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</row>
    <row r="554" ht="14.2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</row>
    <row r="555" ht="14.2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</row>
    <row r="556" ht="14.2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</row>
    <row r="557" ht="14.2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</row>
    <row r="558" ht="14.2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</row>
    <row r="559" ht="14.2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</row>
    <row r="560" ht="14.2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</row>
    <row r="561" ht="14.2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</row>
    <row r="562" ht="14.2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</row>
    <row r="563" ht="14.2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</row>
    <row r="564" ht="14.2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</row>
    <row r="565" ht="14.2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</row>
    <row r="566" ht="14.2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</row>
    <row r="567" ht="14.2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</row>
    <row r="568" ht="14.2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</row>
    <row r="569" ht="14.2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</row>
    <row r="570" ht="14.2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</row>
    <row r="571" ht="14.2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</row>
    <row r="572" ht="14.2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</row>
    <row r="573" ht="14.2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</row>
    <row r="574" ht="14.2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</row>
    <row r="575" ht="14.2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</row>
    <row r="576" ht="14.2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</row>
    <row r="577" ht="14.2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</row>
    <row r="578" ht="14.2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</row>
    <row r="579" ht="14.2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</row>
    <row r="580" ht="14.2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</row>
    <row r="581" ht="14.2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</row>
    <row r="582" ht="14.2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</row>
    <row r="583" ht="14.2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</row>
    <row r="584" ht="14.2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</row>
    <row r="585" ht="14.2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</row>
    <row r="586" ht="14.2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</row>
    <row r="587" ht="14.2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</row>
    <row r="588" ht="14.2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</row>
    <row r="589" ht="14.2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</row>
    <row r="590" ht="14.2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</row>
    <row r="591" ht="14.2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</row>
    <row r="592" ht="14.2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</row>
    <row r="593" ht="14.2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</row>
    <row r="594" ht="14.2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</row>
    <row r="595" ht="14.2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</row>
    <row r="596" ht="14.2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</row>
    <row r="597" ht="14.2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</row>
    <row r="598" ht="14.2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</row>
    <row r="599" ht="14.2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</row>
    <row r="600" ht="14.2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</row>
    <row r="601" ht="14.2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</row>
    <row r="602" ht="14.2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</row>
    <row r="603" ht="14.2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</row>
    <row r="604" ht="14.2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</row>
    <row r="605" ht="14.2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</row>
    <row r="606" ht="14.2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</row>
    <row r="607" ht="14.2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</row>
    <row r="608" ht="14.2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</row>
    <row r="609" ht="14.2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</row>
    <row r="610" ht="14.2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</row>
    <row r="611" ht="14.2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</row>
    <row r="612" ht="14.2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</row>
    <row r="613" ht="14.2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</row>
    <row r="614" ht="14.2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</row>
    <row r="615" ht="14.2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</row>
    <row r="616" ht="14.2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</row>
    <row r="617" ht="14.2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</row>
    <row r="618" ht="14.2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</row>
    <row r="619" ht="14.2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</row>
    <row r="620" ht="14.2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</row>
    <row r="621" ht="14.2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</row>
    <row r="622" ht="14.2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</row>
    <row r="623" ht="14.2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</row>
    <row r="624" ht="14.2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</row>
    <row r="625" ht="14.2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</row>
    <row r="626" ht="14.2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</row>
    <row r="627" ht="14.2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</row>
    <row r="628" ht="14.2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</row>
    <row r="629" ht="14.2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</row>
    <row r="630" ht="14.2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</row>
    <row r="631" ht="14.2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</row>
    <row r="632" ht="14.2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</row>
    <row r="633" ht="14.2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</row>
    <row r="634" ht="14.2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</row>
    <row r="635" ht="14.2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</row>
    <row r="636" ht="14.2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</row>
    <row r="637" ht="14.2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</row>
    <row r="638" ht="14.2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</row>
    <row r="639" ht="14.2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</row>
    <row r="640" ht="14.2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</row>
    <row r="641" ht="14.2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</row>
    <row r="642" ht="14.2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</row>
    <row r="643" ht="14.2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</row>
    <row r="644" ht="14.2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</row>
    <row r="645" ht="14.2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</row>
    <row r="646" ht="14.2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</row>
    <row r="647" ht="14.2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</row>
    <row r="648" ht="14.2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</row>
    <row r="649" ht="14.2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</row>
    <row r="650" ht="14.2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</row>
    <row r="651" ht="14.2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</row>
    <row r="652" ht="14.2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</row>
    <row r="653" ht="14.2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</row>
    <row r="654" ht="14.2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</row>
    <row r="655" ht="14.2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</row>
    <row r="656" ht="14.2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</row>
    <row r="657" ht="14.2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</row>
    <row r="658" ht="14.2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</row>
    <row r="659" ht="14.2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</row>
    <row r="660" ht="14.2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</row>
    <row r="661" ht="14.2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</row>
    <row r="662" ht="14.2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</row>
    <row r="663" ht="14.2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</row>
    <row r="664" ht="14.2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</row>
    <row r="665" ht="14.2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</row>
    <row r="666" ht="14.2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</row>
    <row r="667" ht="14.2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</row>
    <row r="668" ht="14.2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</row>
    <row r="669" ht="14.2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</row>
    <row r="670" ht="14.2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</row>
    <row r="671" ht="14.2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</row>
    <row r="672" ht="14.2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</row>
    <row r="673" ht="14.2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</row>
    <row r="674" ht="14.2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</row>
    <row r="675" ht="14.2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</row>
    <row r="676" ht="14.2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</row>
    <row r="677" ht="14.2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</row>
    <row r="678" ht="14.2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</row>
    <row r="679" ht="14.2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</row>
    <row r="680" ht="14.2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</row>
    <row r="681" ht="14.2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</row>
    <row r="682" ht="14.2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</row>
    <row r="683" ht="14.2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</row>
    <row r="684" ht="14.2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</row>
    <row r="685" ht="14.2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</row>
    <row r="686" ht="14.2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</row>
    <row r="687" ht="14.2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</row>
    <row r="688" ht="14.2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</row>
    <row r="689" ht="14.2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</row>
    <row r="690" ht="14.2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</row>
    <row r="691" ht="14.2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</row>
    <row r="692" ht="14.2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</row>
    <row r="693" ht="14.2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</row>
    <row r="694" ht="14.2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</row>
    <row r="695" ht="14.2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</row>
    <row r="696" ht="14.2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</row>
    <row r="697" ht="14.2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</row>
    <row r="698" ht="14.2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</row>
    <row r="699" ht="14.2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</row>
    <row r="700" ht="14.2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</row>
    <row r="701" ht="14.2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</row>
    <row r="702" ht="14.2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</row>
    <row r="703" ht="14.2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</row>
    <row r="704" ht="14.2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</row>
    <row r="705" ht="14.2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</row>
    <row r="706" ht="14.2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</row>
    <row r="707" ht="14.2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</row>
    <row r="708" ht="14.2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</row>
    <row r="709" ht="14.2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</row>
    <row r="710" ht="14.2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</row>
    <row r="711" ht="14.2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</row>
    <row r="712" ht="14.2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</row>
    <row r="713" ht="14.2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</row>
    <row r="714" ht="14.2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</row>
    <row r="715" ht="14.2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</row>
    <row r="716" ht="14.2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</row>
    <row r="717" ht="14.2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</row>
    <row r="718" ht="14.2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</row>
    <row r="719" ht="14.2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</row>
    <row r="720" ht="14.2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</row>
    <row r="721" ht="14.2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</row>
    <row r="722" ht="14.2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</row>
    <row r="723" ht="14.2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</row>
    <row r="724" ht="14.2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</row>
    <row r="725" ht="14.2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</row>
    <row r="726" ht="14.2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</row>
    <row r="727" ht="14.2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</row>
    <row r="728" ht="14.2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</row>
    <row r="729" ht="14.2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</row>
    <row r="730" ht="14.2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</row>
    <row r="731" ht="14.2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</row>
    <row r="732" ht="14.2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</row>
    <row r="733" ht="14.2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</row>
    <row r="734" ht="14.2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</row>
    <row r="735" ht="14.2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</row>
    <row r="736" ht="14.2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</row>
    <row r="737" ht="14.2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</row>
    <row r="738" ht="14.2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</row>
    <row r="739" ht="14.2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</row>
    <row r="740" ht="14.2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</row>
    <row r="741" ht="14.2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</row>
    <row r="742" ht="14.2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</row>
    <row r="743" ht="14.2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</row>
    <row r="744" ht="14.2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</row>
    <row r="745" ht="14.2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</row>
    <row r="746" ht="14.2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</row>
    <row r="747" ht="14.2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</row>
    <row r="748" ht="14.2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</row>
    <row r="749" ht="14.2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</row>
    <row r="750" ht="14.2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</row>
    <row r="751" ht="14.2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</row>
    <row r="752" ht="14.2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</row>
    <row r="753" ht="14.2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</row>
    <row r="754" ht="14.2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</row>
    <row r="755" ht="14.2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</row>
    <row r="756" ht="14.2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</row>
    <row r="757" ht="14.2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</row>
    <row r="758" ht="14.2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</row>
    <row r="759" ht="14.2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</row>
    <row r="760" ht="14.2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</row>
    <row r="761" ht="14.2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</row>
    <row r="762" ht="14.2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</row>
    <row r="763" ht="14.2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</row>
    <row r="764" ht="14.2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</row>
    <row r="765" ht="14.2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</row>
    <row r="766" ht="14.2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</row>
    <row r="767" ht="14.2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</row>
    <row r="768" ht="14.2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</row>
    <row r="769" ht="14.2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</row>
    <row r="770" ht="14.2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</row>
    <row r="771" ht="14.2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</row>
    <row r="772" ht="14.2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</row>
    <row r="773" ht="14.2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</row>
    <row r="774" ht="14.2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</row>
    <row r="775" ht="14.2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</row>
    <row r="776" ht="14.2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</row>
    <row r="777" ht="14.2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</row>
    <row r="778" ht="14.2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</row>
    <row r="779" ht="14.2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</row>
    <row r="780" ht="14.2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</row>
    <row r="781" ht="14.2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</row>
    <row r="782" ht="14.2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</row>
    <row r="783" ht="14.2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</row>
    <row r="784" ht="14.2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</row>
    <row r="785" ht="14.2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</row>
    <row r="786" ht="14.2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</row>
    <row r="787" ht="14.2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</row>
    <row r="788" ht="14.2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</row>
    <row r="789" ht="14.2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</row>
    <row r="790" ht="14.2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</row>
    <row r="791" ht="14.2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</row>
    <row r="792" ht="14.2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</row>
    <row r="793" ht="14.2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</row>
    <row r="794" ht="14.2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</row>
    <row r="795" ht="14.2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</row>
    <row r="796" ht="14.2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</row>
    <row r="797" ht="14.2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</row>
    <row r="798" ht="14.2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</row>
    <row r="799" ht="14.2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</row>
    <row r="800" ht="14.2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</row>
    <row r="801" ht="14.2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</row>
    <row r="802" ht="14.2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</row>
    <row r="803" ht="14.2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</row>
    <row r="804" ht="14.2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</row>
    <row r="805" ht="14.2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</row>
    <row r="806" ht="14.2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</row>
    <row r="807" ht="14.2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</row>
    <row r="808" ht="14.2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</row>
    <row r="809" ht="14.2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</row>
    <row r="810" ht="14.2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</row>
    <row r="811" ht="14.2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</row>
    <row r="812" ht="14.2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</row>
    <row r="813" ht="14.2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</row>
    <row r="814" ht="14.2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</row>
    <row r="815" ht="14.2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</row>
    <row r="816" ht="14.2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</row>
    <row r="817" ht="14.2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</row>
    <row r="818" ht="14.2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</row>
    <row r="819" ht="14.2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</row>
    <row r="820" ht="14.2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</row>
    <row r="821" ht="14.2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</row>
    <row r="822" ht="14.2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</row>
    <row r="823" ht="14.2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</row>
    <row r="824" ht="14.2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</row>
    <row r="825" ht="14.2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</row>
    <row r="826" ht="14.2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</row>
    <row r="827" ht="14.2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</row>
    <row r="828" ht="14.2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</row>
    <row r="829" ht="14.2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</row>
    <row r="830" ht="14.2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</row>
    <row r="831" ht="14.2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</row>
    <row r="832" ht="14.2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</row>
    <row r="833" ht="14.2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</row>
    <row r="834" ht="14.2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</row>
    <row r="835" ht="14.2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</row>
    <row r="836" ht="14.2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</row>
    <row r="837" ht="14.2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</row>
    <row r="838" ht="14.2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</row>
    <row r="839" ht="14.2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</row>
    <row r="840" ht="14.2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</row>
    <row r="841" ht="14.2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</row>
    <row r="842" ht="14.2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</row>
    <row r="843" ht="14.2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</row>
    <row r="844" ht="14.2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</row>
    <row r="845" ht="14.2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</row>
    <row r="846" ht="14.2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</row>
    <row r="847" ht="14.2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</row>
    <row r="848" ht="14.2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</row>
    <row r="849" ht="14.2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</row>
    <row r="850" ht="14.2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</row>
    <row r="851" ht="14.2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</row>
    <row r="852" ht="14.2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</row>
    <row r="853" ht="14.2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</row>
    <row r="854" ht="14.2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</row>
    <row r="855" ht="14.2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</row>
    <row r="856" ht="14.2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</row>
    <row r="857" ht="14.2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</row>
    <row r="858" ht="14.2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</row>
    <row r="859" ht="14.2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</row>
    <row r="860" ht="14.2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</row>
    <row r="861" ht="14.2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</row>
    <row r="862" ht="14.2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</row>
    <row r="863" ht="14.2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</row>
    <row r="864" ht="14.2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</row>
    <row r="865" ht="14.2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</row>
    <row r="866" ht="14.2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</row>
    <row r="867" ht="14.2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</row>
    <row r="868" ht="14.2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</row>
    <row r="869" ht="14.2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</row>
    <row r="870" ht="14.2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</row>
    <row r="871" ht="14.2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</row>
    <row r="872" ht="14.2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</row>
    <row r="873" ht="14.2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</row>
    <row r="874" ht="14.2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</row>
    <row r="875" ht="14.2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</row>
    <row r="876" ht="14.2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</row>
    <row r="877" ht="14.2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</row>
    <row r="878" ht="14.2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</row>
    <row r="879" ht="14.2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</row>
    <row r="880" ht="14.2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</row>
    <row r="881" ht="14.2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</row>
    <row r="882" ht="14.2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</row>
    <row r="883" ht="14.2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</row>
    <row r="884" ht="14.2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</row>
    <row r="885" ht="14.2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</row>
    <row r="886" ht="14.2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</row>
    <row r="887" ht="14.2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</row>
    <row r="888" ht="14.2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</row>
    <row r="889" ht="14.2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</row>
    <row r="890" ht="14.2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</row>
    <row r="891" ht="14.2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</row>
    <row r="892" ht="14.2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</row>
    <row r="893" ht="14.2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</row>
    <row r="894" ht="14.2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</row>
    <row r="895" ht="14.2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</row>
    <row r="896" ht="14.2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</row>
    <row r="897" ht="14.2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</row>
    <row r="898" ht="14.2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</row>
    <row r="899" ht="14.2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</row>
    <row r="900" ht="14.2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</row>
    <row r="901" ht="14.2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</row>
    <row r="902" ht="14.2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</row>
    <row r="903" ht="14.2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</row>
    <row r="904" ht="14.2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</row>
    <row r="905" ht="14.2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</row>
    <row r="906" ht="14.2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</row>
    <row r="907" ht="14.2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</row>
    <row r="908" ht="14.2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</row>
    <row r="909" ht="14.2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</row>
    <row r="910" ht="14.2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</row>
    <row r="911" ht="14.2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</row>
    <row r="912" ht="14.2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</row>
    <row r="913" ht="14.2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</row>
    <row r="914" ht="14.2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</row>
    <row r="915" ht="14.2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</row>
    <row r="916" ht="14.2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</row>
    <row r="917" ht="14.2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</row>
    <row r="918" ht="14.2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</row>
    <row r="919" ht="14.2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</row>
    <row r="920" ht="14.2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</row>
    <row r="921" ht="14.2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</row>
    <row r="922" ht="14.2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</row>
    <row r="923" ht="14.2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</row>
    <row r="924" ht="14.2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</row>
    <row r="925" ht="14.2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</row>
    <row r="926" ht="14.2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</row>
    <row r="927" ht="14.2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</row>
    <row r="928" ht="14.2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</row>
    <row r="929" ht="14.2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</row>
    <row r="930" ht="14.2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</row>
    <row r="931" ht="14.2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</row>
    <row r="932" ht="14.2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</row>
    <row r="933" ht="14.2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</row>
    <row r="934" ht="14.2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</row>
    <row r="935" ht="14.2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</row>
    <row r="936" ht="14.2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</row>
    <row r="937" ht="14.2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</row>
    <row r="938" ht="14.2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</row>
    <row r="939" ht="14.2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</row>
    <row r="940" ht="14.2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</row>
    <row r="941" ht="14.2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</row>
    <row r="942" ht="14.2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</row>
    <row r="943" ht="14.2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</row>
    <row r="944" ht="14.2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</row>
    <row r="945" ht="14.2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</row>
    <row r="946" ht="14.2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</row>
    <row r="947" ht="14.2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</row>
    <row r="948" ht="14.2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</row>
    <row r="949" ht="14.2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</row>
    <row r="950" ht="14.2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</row>
    <row r="951" ht="14.2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</row>
    <row r="952" ht="14.2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</row>
    <row r="953" ht="14.2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</row>
    <row r="954" ht="14.2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</row>
    <row r="955" ht="14.2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</row>
    <row r="956" ht="14.2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</row>
    <row r="957" ht="14.2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</row>
    <row r="958" ht="14.2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</row>
    <row r="959" ht="14.2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</row>
    <row r="960" ht="14.2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</row>
    <row r="961" ht="14.2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</row>
    <row r="962" ht="14.2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</row>
    <row r="963" ht="14.2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</row>
    <row r="964" ht="14.2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</row>
    <row r="965" ht="14.2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</row>
    <row r="966" ht="14.2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</row>
    <row r="967" ht="14.2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</row>
    <row r="968" ht="14.2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</row>
    <row r="969" ht="14.2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</row>
    <row r="970" ht="14.2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</row>
    <row r="971" ht="14.2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</row>
    <row r="972" ht="14.2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</row>
    <row r="973" ht="14.2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</row>
    <row r="974" ht="14.2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</row>
    <row r="975" ht="14.2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</row>
    <row r="976" ht="14.2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</row>
    <row r="977" ht="14.2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</row>
    <row r="978" ht="14.2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</row>
    <row r="979" ht="14.2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</row>
    <row r="980" ht="14.2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</row>
    <row r="981" ht="14.2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</row>
    <row r="982" ht="14.2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</row>
    <row r="983" ht="14.2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</row>
    <row r="984" ht="14.2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</row>
    <row r="985" ht="14.2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</row>
    <row r="986" ht="14.2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</row>
    <row r="987" ht="14.2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</row>
    <row r="988" ht="14.2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</row>
    <row r="989" ht="14.2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</row>
    <row r="990" ht="14.2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</row>
    <row r="991" ht="14.2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</row>
    <row r="992" ht="14.2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</row>
    <row r="993" ht="14.2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</row>
    <row r="994" ht="14.2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</row>
    <row r="995" ht="14.2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</row>
    <row r="996" ht="14.2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</row>
    <row r="997" ht="14.2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</row>
    <row r="998" ht="14.2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</row>
    <row r="999" ht="14.2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</row>
    <row r="1000" ht="14.2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</row>
  </sheetData>
  <mergeCells count="1">
    <mergeCell ref="B2:C2"/>
  </mergeCells>
  <conditionalFormatting sqref="C21:AB2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C26:AB26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C31:AB32">
    <cfRule type="cellIs" priority="5" operator="greaterThan" dxfId="1">
      <formula>0</formula>
    </cfRule>
    <cfRule type="cellIs" priority="6" operator="lessThan" dxfId="0">
      <formula>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C55A11"/>
    <outlinePr summaryBelow="1" summaryRight="1"/>
    <pageSetUpPr/>
  </sheetPr>
  <dimension ref="A1:Z1000"/>
  <sheetViews>
    <sheetView showGridLines="0" tabSelected="1" workbookViewId="0">
      <selection activeCell="C7" sqref="C7"/>
    </sheetView>
  </sheetViews>
  <sheetFormatPr baseColWidth="10" defaultColWidth="14.453125" defaultRowHeight="15" customHeight="1"/>
  <cols>
    <col width="10.7265625" customWidth="1" min="1" max="1"/>
    <col width="23.453125" customWidth="1" min="2" max="2"/>
    <col width="13.453125" customWidth="1" min="3" max="3"/>
    <col width="13.26953125" customWidth="1" min="4" max="8"/>
    <col width="10.7265625" customWidth="1" min="9" max="26"/>
  </cols>
  <sheetData>
    <row r="1" ht="14.25" customHeight="1">
      <c r="C1" s="140" t="n"/>
    </row>
    <row r="2" ht="14.25" customHeight="1">
      <c r="B2" s="272" t="inlineStr">
        <is>
          <t>Cifras en pesos mexicanos (MXN)</t>
        </is>
      </c>
      <c r="C2" s="140" t="n"/>
    </row>
    <row r="3" ht="14.25" customHeight="1">
      <c r="C3" s="140" t="n"/>
    </row>
    <row r="4" ht="14.25" customHeight="1">
      <c r="B4" s="141" t="inlineStr">
        <is>
          <t>Necesidad de inversión</t>
        </is>
      </c>
      <c r="C4" s="142">
        <f>+C5+C6</f>
        <v/>
      </c>
    </row>
    <row r="5" ht="14.25" customHeight="1">
      <c r="B5" s="143" t="inlineStr">
        <is>
          <t>CAPEX</t>
        </is>
      </c>
      <c r="C5" s="144">
        <f>+CAPEX!C5</f>
        <v/>
      </c>
    </row>
    <row r="6" ht="14.25" customHeight="1">
      <c r="B6" s="143" t="inlineStr">
        <is>
          <t>Capital de Trabajo</t>
        </is>
      </c>
      <c r="C6" s="144">
        <f>+'Proyección financiera'!C30</f>
        <v/>
      </c>
    </row>
    <row r="7" ht="14.25" customHeight="1">
      <c r="B7" s="141" t="inlineStr">
        <is>
          <t>Costo de capital</t>
        </is>
      </c>
      <c r="C7" s="268" t="n">
        <v>0.22</v>
      </c>
    </row>
    <row r="8" ht="14.25" customHeight="1" thickBot="1">
      <c r="B8" s="146" t="n"/>
      <c r="C8" s="147" t="n"/>
    </row>
    <row r="9" ht="14.25" customHeight="1" thickBot="1">
      <c r="A9" s="148" t="n"/>
      <c r="B9" s="222" t="inlineStr">
        <is>
          <t>Porcentage estimado de crecimiento</t>
        </is>
      </c>
      <c r="C9" s="269" t="n"/>
      <c r="D9" s="269" t="n"/>
      <c r="E9" s="269" t="n"/>
      <c r="F9" s="270" t="n">
        <v>0.6</v>
      </c>
      <c r="G9" s="270" t="n">
        <v>0.4</v>
      </c>
      <c r="H9" s="270" t="n">
        <v>0.3</v>
      </c>
      <c r="I9" s="148" t="n"/>
      <c r="J9" s="148" t="n"/>
      <c r="K9" s="148" t="n"/>
      <c r="L9" s="148" t="n"/>
      <c r="M9" s="148" t="n"/>
      <c r="N9" s="148" t="n"/>
      <c r="O9" s="148" t="n"/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148" t="n"/>
    </row>
    <row r="10" ht="14.25" customHeight="1" thickBot="1">
      <c r="B10" s="191" t="inlineStr">
        <is>
          <t>Año</t>
        </is>
      </c>
      <c r="C10" s="178" t="n">
        <v>0</v>
      </c>
      <c r="D10" s="179" t="n">
        <v>1</v>
      </c>
      <c r="E10" s="179" t="n">
        <v>2</v>
      </c>
      <c r="F10" s="178" t="n">
        <v>3</v>
      </c>
      <c r="G10" s="179" t="n">
        <v>4</v>
      </c>
      <c r="H10" s="180" t="n">
        <v>5</v>
      </c>
    </row>
    <row r="11" ht="14.25" customHeight="1">
      <c r="B11" s="149" t="inlineStr">
        <is>
          <t>Resultado</t>
        </is>
      </c>
      <c r="C11" s="150">
        <f>-C4</f>
        <v/>
      </c>
      <c r="D11" s="151">
        <f>+'Proyección financiera'!O26</f>
        <v/>
      </c>
      <c r="E11" s="151">
        <f>+'Proyección financiera'!AB26</f>
        <v/>
      </c>
      <c r="F11" s="151">
        <f>+E11*(1+F9)</f>
        <v/>
      </c>
      <c r="G11" s="151">
        <f>+F11*(1+G9)</f>
        <v/>
      </c>
      <c r="H11" s="151">
        <f>+G11*(1+H9)</f>
        <v/>
      </c>
    </row>
    <row r="12" ht="14.25" customHeight="1">
      <c r="B12" s="152" t="inlineStr">
        <is>
          <t>Valor presente</t>
        </is>
      </c>
      <c r="C12" s="153" t="n"/>
      <c r="D12" s="154">
        <f>D11/(1+$C$7)^D10</f>
        <v/>
      </c>
      <c r="E12" s="154">
        <f>E11/(1+$C$7)^E10</f>
        <v/>
      </c>
      <c r="F12" s="154">
        <f>F11/(1+$C$7)^F10</f>
        <v/>
      </c>
      <c r="G12" s="154">
        <f>G11/(1+$C$7)^G10</f>
        <v/>
      </c>
      <c r="H12" s="154">
        <f>H11/(1+$C$7)^H10</f>
        <v/>
      </c>
    </row>
    <row r="13" ht="14.25" customHeight="1">
      <c r="B13" s="155" t="inlineStr">
        <is>
          <t>Valor presente neto</t>
        </is>
      </c>
      <c r="C13" s="156" t="n"/>
      <c r="D13" s="156" t="n"/>
      <c r="E13" s="156" t="n"/>
      <c r="F13" s="156" t="n"/>
      <c r="G13" s="156" t="n"/>
      <c r="H13" s="157">
        <f>+SUM(C12:H12)</f>
        <v/>
      </c>
    </row>
    <row r="14" ht="14.25" customHeight="1">
      <c r="B14" s="155" t="inlineStr">
        <is>
          <t>TIR</t>
        </is>
      </c>
      <c r="C14" s="158" t="n"/>
      <c r="D14" s="159" t="n"/>
      <c r="E14" s="159" t="n"/>
      <c r="F14" s="159" t="n"/>
      <c r="G14" s="160" t="n"/>
      <c r="H14" s="145">
        <f>+IF(C11&lt;&gt;0,IRR(C11:H11,),"")</f>
        <v/>
      </c>
    </row>
    <row r="15" ht="14.25" customHeight="1">
      <c r="B15" s="161" t="inlineStr">
        <is>
          <t>Índice de rentabilidad</t>
        </is>
      </c>
      <c r="C15" s="158" t="n"/>
      <c r="D15" s="159" t="n"/>
      <c r="E15" s="159" t="n"/>
      <c r="F15" s="159" t="n"/>
      <c r="G15" s="160" t="n"/>
      <c r="H15" s="161">
        <f>IF(C4&lt;&gt;0,1+H13/C4,"")</f>
        <v/>
      </c>
    </row>
    <row r="16" ht="14.25" customHeight="1">
      <c r="B16" s="161" t="inlineStr">
        <is>
          <t>% equivalente a la inversión</t>
        </is>
      </c>
      <c r="C16" s="158" t="n"/>
      <c r="D16" s="159" t="n"/>
      <c r="E16" s="159" t="n"/>
      <c r="F16" s="159" t="n"/>
      <c r="G16" s="160" t="n"/>
      <c r="H16" s="145">
        <f>IF(H13&gt;0,C4/H13,0)</f>
        <v/>
      </c>
    </row>
    <row r="17" ht="14.25" customHeight="1">
      <c r="C17" s="140" t="n"/>
    </row>
    <row r="18" ht="14.25" customHeight="1">
      <c r="C18" s="140" t="n"/>
    </row>
    <row r="19" ht="14.25" customHeight="1">
      <c r="C19" s="140" t="n"/>
    </row>
    <row r="20" ht="14.25" customHeight="1">
      <c r="C20" s="140" t="n"/>
    </row>
    <row r="21" ht="14.25" customHeight="1">
      <c r="C21" s="140" t="n"/>
    </row>
    <row r="22" ht="14.25" customHeight="1">
      <c r="C22" s="140" t="n"/>
    </row>
    <row r="23" ht="14.25" customHeight="1">
      <c r="C23" s="140" t="n"/>
    </row>
    <row r="24" ht="14.25" customHeight="1">
      <c r="C24" s="140" t="n"/>
    </row>
    <row r="25" ht="14.25" customHeight="1">
      <c r="C25" s="140" t="n"/>
    </row>
    <row r="26" ht="14.25" customHeight="1">
      <c r="C26" s="140" t="n"/>
    </row>
    <row r="27" ht="14.25" customHeight="1">
      <c r="C27" s="140" t="n"/>
    </row>
    <row r="28" ht="14.25" customHeight="1">
      <c r="C28" s="140" t="n"/>
    </row>
    <row r="29" ht="14.25" customHeight="1">
      <c r="C29" s="140" t="n"/>
    </row>
    <row r="30" ht="14.25" customHeight="1">
      <c r="C30" s="140" t="n"/>
    </row>
    <row r="31" ht="14.25" customHeight="1">
      <c r="C31" s="140" t="n"/>
    </row>
    <row r="32" ht="14.25" customHeight="1">
      <c r="C32" s="140" t="n"/>
    </row>
    <row r="33" ht="14.25" customHeight="1">
      <c r="C33" s="140" t="n"/>
    </row>
    <row r="34" ht="14.25" customHeight="1">
      <c r="C34" s="140" t="n"/>
    </row>
    <row r="35" ht="14.25" customHeight="1">
      <c r="C35" s="140" t="n"/>
    </row>
    <row r="36" ht="14.25" customHeight="1">
      <c r="C36" s="140" t="n"/>
    </row>
    <row r="37" ht="14.25" customHeight="1">
      <c r="C37" s="140" t="n"/>
    </row>
    <row r="38" ht="14.25" customHeight="1">
      <c r="C38" s="140" t="n"/>
    </row>
    <row r="39" ht="14.25" customHeight="1">
      <c r="C39" s="140" t="n"/>
    </row>
    <row r="40" ht="14.25" customHeight="1">
      <c r="C40" s="140" t="n"/>
    </row>
    <row r="41" ht="14.25" customHeight="1">
      <c r="C41" s="140" t="n"/>
    </row>
    <row r="42" ht="14.25" customHeight="1">
      <c r="C42" s="140" t="n"/>
    </row>
    <row r="43" ht="14.25" customHeight="1">
      <c r="C43" s="140" t="n"/>
    </row>
    <row r="44" ht="14.25" customHeight="1">
      <c r="C44" s="140" t="n"/>
    </row>
    <row r="45" ht="14.25" customHeight="1">
      <c r="C45" s="140" t="n"/>
    </row>
    <row r="46" ht="14.25" customHeight="1">
      <c r="C46" s="140" t="n"/>
    </row>
    <row r="47" ht="14.25" customHeight="1">
      <c r="C47" s="140" t="n"/>
    </row>
    <row r="48" ht="14.25" customHeight="1">
      <c r="C48" s="140" t="n"/>
    </row>
    <row r="49" ht="14.25" customHeight="1">
      <c r="C49" s="140" t="n"/>
    </row>
    <row r="50" ht="14.25" customHeight="1">
      <c r="C50" s="140" t="n"/>
    </row>
    <row r="51" ht="14.25" customHeight="1">
      <c r="C51" s="140" t="n"/>
    </row>
    <row r="52" ht="14.25" customHeight="1">
      <c r="C52" s="140" t="n"/>
    </row>
    <row r="53" ht="14.25" customHeight="1">
      <c r="C53" s="140" t="n"/>
    </row>
    <row r="54" ht="14.25" customHeight="1">
      <c r="C54" s="140" t="n"/>
    </row>
    <row r="55" ht="14.25" customHeight="1">
      <c r="C55" s="140" t="n"/>
    </row>
    <row r="56" ht="14.25" customHeight="1">
      <c r="C56" s="140" t="n"/>
    </row>
    <row r="57" ht="14.25" customHeight="1">
      <c r="C57" s="140" t="n"/>
    </row>
    <row r="58" ht="14.25" customHeight="1">
      <c r="C58" s="140" t="n"/>
    </row>
    <row r="59" ht="14.25" customHeight="1">
      <c r="C59" s="140" t="n"/>
    </row>
    <row r="60" ht="14.25" customHeight="1">
      <c r="C60" s="140" t="n"/>
    </row>
    <row r="61" ht="14.25" customHeight="1">
      <c r="C61" s="140" t="n"/>
    </row>
    <row r="62" ht="14.25" customHeight="1">
      <c r="C62" s="140" t="n"/>
    </row>
    <row r="63" ht="14.25" customHeight="1">
      <c r="C63" s="140" t="n"/>
    </row>
    <row r="64" ht="14.25" customHeight="1">
      <c r="C64" s="140" t="n"/>
    </row>
    <row r="65" ht="14.25" customHeight="1">
      <c r="C65" s="140" t="n"/>
    </row>
    <row r="66" ht="14.25" customHeight="1">
      <c r="C66" s="140" t="n"/>
    </row>
    <row r="67" ht="14.25" customHeight="1">
      <c r="C67" s="140" t="n"/>
    </row>
    <row r="68" ht="14.25" customHeight="1">
      <c r="C68" s="140" t="n"/>
    </row>
    <row r="69" ht="14.25" customHeight="1">
      <c r="C69" s="140" t="n"/>
    </row>
    <row r="70" ht="14.25" customHeight="1">
      <c r="C70" s="140" t="n"/>
    </row>
    <row r="71" ht="14.25" customHeight="1">
      <c r="C71" s="140" t="n"/>
    </row>
    <row r="72" ht="14.25" customHeight="1">
      <c r="C72" s="140" t="n"/>
    </row>
    <row r="73" ht="14.25" customHeight="1">
      <c r="C73" s="140" t="n"/>
    </row>
    <row r="74" ht="14.25" customHeight="1">
      <c r="C74" s="140" t="n"/>
    </row>
    <row r="75" ht="14.25" customHeight="1">
      <c r="C75" s="140" t="n"/>
    </row>
    <row r="76" ht="14.25" customHeight="1">
      <c r="C76" s="140" t="n"/>
    </row>
    <row r="77" ht="14.25" customHeight="1">
      <c r="C77" s="140" t="n"/>
    </row>
    <row r="78" ht="14.25" customHeight="1">
      <c r="C78" s="140" t="n"/>
    </row>
    <row r="79" ht="14.25" customHeight="1">
      <c r="C79" s="140" t="n"/>
    </row>
    <row r="80" ht="14.25" customHeight="1">
      <c r="C80" s="140" t="n"/>
    </row>
    <row r="81" ht="14.25" customHeight="1">
      <c r="C81" s="140" t="n"/>
    </row>
    <row r="82" ht="14.25" customHeight="1">
      <c r="C82" s="140" t="n"/>
    </row>
    <row r="83" ht="14.25" customHeight="1">
      <c r="C83" s="140" t="n"/>
    </row>
    <row r="84" ht="14.25" customHeight="1">
      <c r="C84" s="140" t="n"/>
    </row>
    <row r="85" ht="14.25" customHeight="1">
      <c r="C85" s="140" t="n"/>
    </row>
    <row r="86" ht="14.25" customHeight="1">
      <c r="C86" s="140" t="n"/>
    </row>
    <row r="87" ht="14.25" customHeight="1">
      <c r="C87" s="140" t="n"/>
    </row>
    <row r="88" ht="14.25" customHeight="1">
      <c r="C88" s="140" t="n"/>
    </row>
    <row r="89" ht="14.25" customHeight="1">
      <c r="C89" s="140" t="n"/>
    </row>
    <row r="90" ht="14.25" customHeight="1">
      <c r="C90" s="140" t="n"/>
    </row>
    <row r="91" ht="14.25" customHeight="1">
      <c r="C91" s="140" t="n"/>
    </row>
    <row r="92" ht="14.25" customHeight="1">
      <c r="C92" s="140" t="n"/>
    </row>
    <row r="93" ht="14.25" customHeight="1">
      <c r="C93" s="140" t="n"/>
    </row>
    <row r="94" ht="14.25" customHeight="1">
      <c r="C94" s="140" t="n"/>
    </row>
    <row r="95" ht="14.25" customHeight="1">
      <c r="C95" s="140" t="n"/>
    </row>
    <row r="96" ht="14.25" customHeight="1">
      <c r="C96" s="140" t="n"/>
    </row>
    <row r="97" ht="14.25" customHeight="1">
      <c r="C97" s="140" t="n"/>
    </row>
    <row r="98" ht="14.25" customHeight="1">
      <c r="C98" s="140" t="n"/>
    </row>
    <row r="99" ht="14.25" customHeight="1">
      <c r="C99" s="140" t="n"/>
    </row>
    <row r="100" ht="14.25" customHeight="1">
      <c r="C100" s="140" t="n"/>
    </row>
    <row r="101" ht="14.25" customHeight="1">
      <c r="C101" s="140" t="n"/>
    </row>
    <row r="102" ht="14.25" customHeight="1">
      <c r="C102" s="140" t="n"/>
    </row>
    <row r="103" ht="14.25" customHeight="1">
      <c r="C103" s="140" t="n"/>
    </row>
    <row r="104" ht="14.25" customHeight="1">
      <c r="C104" s="140" t="n"/>
    </row>
    <row r="105" ht="14.25" customHeight="1">
      <c r="C105" s="140" t="n"/>
    </row>
    <row r="106" ht="14.25" customHeight="1">
      <c r="C106" s="140" t="n"/>
    </row>
    <row r="107" ht="14.25" customHeight="1">
      <c r="C107" s="140" t="n"/>
    </row>
    <row r="108" ht="14.25" customHeight="1">
      <c r="C108" s="140" t="n"/>
    </row>
    <row r="109" ht="14.25" customHeight="1">
      <c r="C109" s="140" t="n"/>
    </row>
    <row r="110" ht="14.25" customHeight="1">
      <c r="C110" s="140" t="n"/>
    </row>
    <row r="111" ht="14.25" customHeight="1">
      <c r="C111" s="140" t="n"/>
    </row>
    <row r="112" ht="14.25" customHeight="1">
      <c r="C112" s="140" t="n"/>
    </row>
    <row r="113" ht="14.25" customHeight="1">
      <c r="C113" s="140" t="n"/>
    </row>
    <row r="114" ht="14.25" customHeight="1">
      <c r="C114" s="140" t="n"/>
    </row>
    <row r="115" ht="14.25" customHeight="1">
      <c r="C115" s="140" t="n"/>
    </row>
    <row r="116" ht="14.25" customHeight="1">
      <c r="C116" s="140" t="n"/>
    </row>
    <row r="117" ht="14.25" customHeight="1">
      <c r="C117" s="140" t="n"/>
    </row>
    <row r="118" ht="14.25" customHeight="1">
      <c r="C118" s="140" t="n"/>
    </row>
    <row r="119" ht="14.25" customHeight="1">
      <c r="C119" s="140" t="n"/>
    </row>
    <row r="120" ht="14.25" customHeight="1">
      <c r="C120" s="140" t="n"/>
    </row>
    <row r="121" ht="14.25" customHeight="1">
      <c r="C121" s="140" t="n"/>
    </row>
    <row r="122" ht="14.25" customHeight="1">
      <c r="C122" s="140" t="n"/>
    </row>
    <row r="123" ht="14.25" customHeight="1">
      <c r="C123" s="140" t="n"/>
    </row>
    <row r="124" ht="14.25" customHeight="1">
      <c r="C124" s="140" t="n"/>
    </row>
    <row r="125" ht="14.25" customHeight="1">
      <c r="C125" s="140" t="n"/>
    </row>
    <row r="126" ht="14.25" customHeight="1">
      <c r="C126" s="140" t="n"/>
    </row>
    <row r="127" ht="14.25" customHeight="1">
      <c r="C127" s="140" t="n"/>
    </row>
    <row r="128" ht="14.25" customHeight="1">
      <c r="C128" s="140" t="n"/>
    </row>
    <row r="129" ht="14.25" customHeight="1">
      <c r="C129" s="140" t="n"/>
    </row>
    <row r="130" ht="14.25" customHeight="1">
      <c r="C130" s="140" t="n"/>
    </row>
    <row r="131" ht="14.25" customHeight="1">
      <c r="C131" s="140" t="n"/>
    </row>
    <row r="132" ht="14.25" customHeight="1">
      <c r="C132" s="140" t="n"/>
    </row>
    <row r="133" ht="14.25" customHeight="1">
      <c r="C133" s="140" t="n"/>
    </row>
    <row r="134" ht="14.25" customHeight="1">
      <c r="C134" s="140" t="n"/>
    </row>
    <row r="135" ht="14.25" customHeight="1">
      <c r="C135" s="140" t="n"/>
    </row>
    <row r="136" ht="14.25" customHeight="1">
      <c r="C136" s="140" t="n"/>
    </row>
    <row r="137" ht="14.25" customHeight="1">
      <c r="C137" s="140" t="n"/>
    </row>
    <row r="138" ht="14.25" customHeight="1">
      <c r="C138" s="140" t="n"/>
    </row>
    <row r="139" ht="14.25" customHeight="1">
      <c r="C139" s="140" t="n"/>
    </row>
    <row r="140" ht="14.25" customHeight="1">
      <c r="C140" s="140" t="n"/>
    </row>
    <row r="141" ht="14.25" customHeight="1">
      <c r="C141" s="140" t="n"/>
    </row>
    <row r="142" ht="14.25" customHeight="1">
      <c r="C142" s="140" t="n"/>
    </row>
    <row r="143" ht="14.25" customHeight="1">
      <c r="C143" s="140" t="n"/>
    </row>
    <row r="144" ht="14.25" customHeight="1">
      <c r="C144" s="140" t="n"/>
    </row>
    <row r="145" ht="14.25" customHeight="1">
      <c r="C145" s="140" t="n"/>
    </row>
    <row r="146" ht="14.25" customHeight="1">
      <c r="C146" s="140" t="n"/>
    </row>
    <row r="147" ht="14.25" customHeight="1">
      <c r="C147" s="140" t="n"/>
    </row>
    <row r="148" ht="14.25" customHeight="1">
      <c r="C148" s="140" t="n"/>
    </row>
    <row r="149" ht="14.25" customHeight="1">
      <c r="C149" s="140" t="n"/>
    </row>
    <row r="150" ht="14.25" customHeight="1">
      <c r="C150" s="140" t="n"/>
    </row>
    <row r="151" ht="14.25" customHeight="1">
      <c r="C151" s="140" t="n"/>
    </row>
    <row r="152" ht="14.25" customHeight="1">
      <c r="C152" s="140" t="n"/>
    </row>
    <row r="153" ht="14.25" customHeight="1">
      <c r="C153" s="140" t="n"/>
    </row>
    <row r="154" ht="14.25" customHeight="1">
      <c r="C154" s="140" t="n"/>
    </row>
    <row r="155" ht="14.25" customHeight="1">
      <c r="C155" s="140" t="n"/>
    </row>
    <row r="156" ht="14.25" customHeight="1">
      <c r="C156" s="140" t="n"/>
    </row>
    <row r="157" ht="14.25" customHeight="1">
      <c r="C157" s="140" t="n"/>
    </row>
    <row r="158" ht="14.25" customHeight="1">
      <c r="C158" s="140" t="n"/>
    </row>
    <row r="159" ht="14.25" customHeight="1">
      <c r="C159" s="140" t="n"/>
    </row>
    <row r="160" ht="14.25" customHeight="1">
      <c r="C160" s="140" t="n"/>
    </row>
    <row r="161" ht="14.25" customHeight="1">
      <c r="C161" s="140" t="n"/>
    </row>
    <row r="162" ht="14.25" customHeight="1">
      <c r="C162" s="140" t="n"/>
    </row>
    <row r="163" ht="14.25" customHeight="1">
      <c r="C163" s="140" t="n"/>
    </row>
    <row r="164" ht="14.25" customHeight="1">
      <c r="C164" s="140" t="n"/>
    </row>
    <row r="165" ht="14.25" customHeight="1">
      <c r="C165" s="140" t="n"/>
    </row>
    <row r="166" ht="14.25" customHeight="1">
      <c r="C166" s="140" t="n"/>
    </row>
    <row r="167" ht="14.25" customHeight="1">
      <c r="C167" s="140" t="n"/>
    </row>
    <row r="168" ht="14.25" customHeight="1">
      <c r="C168" s="140" t="n"/>
    </row>
    <row r="169" ht="14.25" customHeight="1">
      <c r="C169" s="140" t="n"/>
    </row>
    <row r="170" ht="14.25" customHeight="1">
      <c r="C170" s="140" t="n"/>
    </row>
    <row r="171" ht="14.25" customHeight="1">
      <c r="C171" s="140" t="n"/>
    </row>
    <row r="172" ht="14.25" customHeight="1">
      <c r="C172" s="140" t="n"/>
    </row>
    <row r="173" ht="14.25" customHeight="1">
      <c r="C173" s="140" t="n"/>
    </row>
    <row r="174" ht="14.25" customHeight="1">
      <c r="C174" s="140" t="n"/>
    </row>
    <row r="175" ht="14.25" customHeight="1">
      <c r="C175" s="140" t="n"/>
    </row>
    <row r="176" ht="14.25" customHeight="1">
      <c r="C176" s="140" t="n"/>
    </row>
    <row r="177" ht="14.25" customHeight="1">
      <c r="C177" s="140" t="n"/>
    </row>
    <row r="178" ht="14.25" customHeight="1">
      <c r="C178" s="140" t="n"/>
    </row>
    <row r="179" ht="14.25" customHeight="1">
      <c r="C179" s="140" t="n"/>
    </row>
    <row r="180" ht="14.25" customHeight="1">
      <c r="C180" s="140" t="n"/>
    </row>
    <row r="181" ht="14.25" customHeight="1">
      <c r="C181" s="140" t="n"/>
    </row>
    <row r="182" ht="14.25" customHeight="1">
      <c r="C182" s="140" t="n"/>
    </row>
    <row r="183" ht="14.25" customHeight="1">
      <c r="C183" s="140" t="n"/>
    </row>
    <row r="184" ht="14.25" customHeight="1">
      <c r="C184" s="140" t="n"/>
    </row>
    <row r="185" ht="14.25" customHeight="1">
      <c r="C185" s="140" t="n"/>
    </row>
    <row r="186" ht="14.25" customHeight="1">
      <c r="C186" s="140" t="n"/>
    </row>
    <row r="187" ht="14.25" customHeight="1">
      <c r="C187" s="140" t="n"/>
    </row>
    <row r="188" ht="14.25" customHeight="1">
      <c r="C188" s="140" t="n"/>
    </row>
    <row r="189" ht="14.25" customHeight="1">
      <c r="C189" s="140" t="n"/>
    </row>
    <row r="190" ht="14.25" customHeight="1">
      <c r="C190" s="140" t="n"/>
    </row>
    <row r="191" ht="14.25" customHeight="1">
      <c r="C191" s="140" t="n"/>
    </row>
    <row r="192" ht="14.25" customHeight="1">
      <c r="C192" s="140" t="n"/>
    </row>
    <row r="193" ht="14.25" customHeight="1">
      <c r="C193" s="140" t="n"/>
    </row>
    <row r="194" ht="14.25" customHeight="1">
      <c r="C194" s="140" t="n"/>
    </row>
    <row r="195" ht="14.25" customHeight="1">
      <c r="C195" s="140" t="n"/>
    </row>
    <row r="196" ht="14.25" customHeight="1">
      <c r="C196" s="140" t="n"/>
    </row>
    <row r="197" ht="14.25" customHeight="1">
      <c r="C197" s="140" t="n"/>
    </row>
    <row r="198" ht="14.25" customHeight="1">
      <c r="C198" s="140" t="n"/>
    </row>
    <row r="199" ht="14.25" customHeight="1">
      <c r="C199" s="140" t="n"/>
    </row>
    <row r="200" ht="14.25" customHeight="1">
      <c r="C200" s="140" t="n"/>
    </row>
    <row r="201" ht="14.25" customHeight="1">
      <c r="C201" s="140" t="n"/>
    </row>
    <row r="202" ht="14.25" customHeight="1">
      <c r="C202" s="140" t="n"/>
    </row>
    <row r="203" ht="14.25" customHeight="1">
      <c r="C203" s="140" t="n"/>
    </row>
    <row r="204" ht="14.25" customHeight="1">
      <c r="C204" s="140" t="n"/>
    </row>
    <row r="205" ht="14.25" customHeight="1">
      <c r="C205" s="140" t="n"/>
    </row>
    <row r="206" ht="14.25" customHeight="1">
      <c r="C206" s="140" t="n"/>
    </row>
    <row r="207" ht="14.25" customHeight="1">
      <c r="C207" s="140" t="n"/>
    </row>
    <row r="208" ht="14.25" customHeight="1">
      <c r="C208" s="140" t="n"/>
    </row>
    <row r="209" ht="14.25" customHeight="1">
      <c r="C209" s="140" t="n"/>
    </row>
    <row r="210" ht="14.25" customHeight="1">
      <c r="C210" s="140" t="n"/>
    </row>
    <row r="211" ht="14.25" customHeight="1">
      <c r="C211" s="140" t="n"/>
    </row>
    <row r="212" ht="14.25" customHeight="1">
      <c r="C212" s="140" t="n"/>
    </row>
    <row r="213" ht="14.25" customHeight="1">
      <c r="C213" s="140" t="n"/>
    </row>
    <row r="214" ht="14.25" customHeight="1">
      <c r="C214" s="140" t="n"/>
    </row>
    <row r="215" ht="14.25" customHeight="1">
      <c r="C215" s="140" t="n"/>
    </row>
    <row r="216" ht="14.25" customHeight="1">
      <c r="C216" s="140" t="n"/>
    </row>
    <row r="217" ht="14.25" customHeight="1">
      <c r="C217" s="140" t="n"/>
    </row>
    <row r="218" ht="14.25" customHeight="1">
      <c r="C218" s="140" t="n"/>
    </row>
    <row r="219" ht="14.25" customHeight="1">
      <c r="C219" s="140" t="n"/>
    </row>
    <row r="220" ht="14.25" customHeight="1">
      <c r="C220" s="140" t="n"/>
    </row>
    <row r="221" ht="14.25" customHeight="1">
      <c r="C221" s="140" t="n"/>
    </row>
    <row r="222" ht="14.25" customHeight="1">
      <c r="C222" s="140" t="n"/>
    </row>
    <row r="223" ht="14.25" customHeight="1">
      <c r="C223" s="140" t="n"/>
    </row>
    <row r="224" ht="14.25" customHeight="1">
      <c r="C224" s="140" t="n"/>
    </row>
    <row r="225" ht="14.25" customHeight="1">
      <c r="C225" s="140" t="n"/>
    </row>
    <row r="226" ht="14.25" customHeight="1">
      <c r="C226" s="140" t="n"/>
    </row>
    <row r="227" ht="14.25" customHeight="1">
      <c r="C227" s="140" t="n"/>
    </row>
    <row r="228" ht="14.25" customHeight="1">
      <c r="C228" s="140" t="n"/>
    </row>
    <row r="229" ht="14.25" customHeight="1">
      <c r="C229" s="140" t="n"/>
    </row>
    <row r="230" ht="14.25" customHeight="1">
      <c r="C230" s="140" t="n"/>
    </row>
    <row r="231" ht="14.25" customHeight="1">
      <c r="C231" s="140" t="n"/>
    </row>
    <row r="232" ht="14.25" customHeight="1">
      <c r="C232" s="140" t="n"/>
    </row>
    <row r="233" ht="14.25" customHeight="1">
      <c r="C233" s="140" t="n"/>
    </row>
    <row r="234" ht="14.25" customHeight="1">
      <c r="C234" s="140" t="n"/>
    </row>
    <row r="235" ht="14.25" customHeight="1">
      <c r="C235" s="140" t="n"/>
    </row>
    <row r="236" ht="14.25" customHeight="1">
      <c r="C236" s="140" t="n"/>
    </row>
    <row r="237" ht="14.25" customHeight="1">
      <c r="C237" s="140" t="n"/>
    </row>
    <row r="238" ht="14.25" customHeight="1">
      <c r="C238" s="140" t="n"/>
    </row>
    <row r="239" ht="14.25" customHeight="1">
      <c r="C239" s="140" t="n"/>
    </row>
    <row r="240" ht="14.25" customHeight="1">
      <c r="C240" s="140" t="n"/>
    </row>
    <row r="241" ht="14.25" customHeight="1">
      <c r="C241" s="140" t="n"/>
    </row>
    <row r="242" ht="14.25" customHeight="1">
      <c r="C242" s="140" t="n"/>
    </row>
    <row r="243" ht="14.25" customHeight="1">
      <c r="C243" s="140" t="n"/>
    </row>
    <row r="244" ht="14.25" customHeight="1">
      <c r="C244" s="140" t="n"/>
    </row>
    <row r="245" ht="14.25" customHeight="1">
      <c r="C245" s="140" t="n"/>
    </row>
    <row r="246" ht="14.25" customHeight="1">
      <c r="C246" s="140" t="n"/>
    </row>
    <row r="247" ht="14.25" customHeight="1">
      <c r="C247" s="140" t="n"/>
    </row>
    <row r="248" ht="14.25" customHeight="1">
      <c r="C248" s="140" t="n"/>
    </row>
    <row r="249" ht="14.25" customHeight="1">
      <c r="C249" s="140" t="n"/>
    </row>
    <row r="250" ht="14.25" customHeight="1">
      <c r="C250" s="140" t="n"/>
    </row>
    <row r="251" ht="14.25" customHeight="1">
      <c r="C251" s="140" t="n"/>
    </row>
    <row r="252" ht="14.25" customHeight="1">
      <c r="C252" s="140" t="n"/>
    </row>
    <row r="253" ht="14.25" customHeight="1">
      <c r="C253" s="140" t="n"/>
    </row>
    <row r="254" ht="14.25" customHeight="1">
      <c r="C254" s="140" t="n"/>
    </row>
    <row r="255" ht="14.25" customHeight="1">
      <c r="C255" s="140" t="n"/>
    </row>
    <row r="256" ht="14.25" customHeight="1">
      <c r="C256" s="140" t="n"/>
    </row>
    <row r="257" ht="14.25" customHeight="1">
      <c r="C257" s="140" t="n"/>
    </row>
    <row r="258" ht="14.25" customHeight="1">
      <c r="C258" s="140" t="n"/>
    </row>
    <row r="259" ht="14.25" customHeight="1">
      <c r="C259" s="140" t="n"/>
    </row>
    <row r="260" ht="14.25" customHeight="1">
      <c r="C260" s="140" t="n"/>
    </row>
    <row r="261" ht="14.25" customHeight="1">
      <c r="C261" s="140" t="n"/>
    </row>
    <row r="262" ht="14.25" customHeight="1">
      <c r="C262" s="140" t="n"/>
    </row>
    <row r="263" ht="14.25" customHeight="1">
      <c r="C263" s="140" t="n"/>
    </row>
    <row r="264" ht="14.25" customHeight="1">
      <c r="C264" s="140" t="n"/>
    </row>
    <row r="265" ht="14.25" customHeight="1">
      <c r="C265" s="140" t="n"/>
    </row>
    <row r="266" ht="14.25" customHeight="1">
      <c r="C266" s="140" t="n"/>
    </row>
    <row r="267" ht="14.25" customHeight="1">
      <c r="C267" s="140" t="n"/>
    </row>
    <row r="268" ht="14.25" customHeight="1">
      <c r="C268" s="140" t="n"/>
    </row>
    <row r="269" ht="14.25" customHeight="1">
      <c r="C269" s="140" t="n"/>
    </row>
    <row r="270" ht="14.25" customHeight="1">
      <c r="C270" s="140" t="n"/>
    </row>
    <row r="271" ht="14.25" customHeight="1">
      <c r="C271" s="140" t="n"/>
    </row>
    <row r="272" ht="14.25" customHeight="1">
      <c r="C272" s="140" t="n"/>
    </row>
    <row r="273" ht="14.25" customHeight="1">
      <c r="C273" s="140" t="n"/>
    </row>
    <row r="274" ht="14.25" customHeight="1">
      <c r="C274" s="140" t="n"/>
    </row>
    <row r="275" ht="14.25" customHeight="1">
      <c r="C275" s="140" t="n"/>
    </row>
    <row r="276" ht="14.25" customHeight="1">
      <c r="C276" s="140" t="n"/>
    </row>
    <row r="277" ht="14.25" customHeight="1">
      <c r="C277" s="140" t="n"/>
    </row>
    <row r="278" ht="14.25" customHeight="1">
      <c r="C278" s="140" t="n"/>
    </row>
    <row r="279" ht="14.25" customHeight="1">
      <c r="C279" s="140" t="n"/>
    </row>
    <row r="280" ht="14.25" customHeight="1">
      <c r="C280" s="140" t="n"/>
    </row>
    <row r="281" ht="14.25" customHeight="1">
      <c r="C281" s="140" t="n"/>
    </row>
    <row r="282" ht="14.25" customHeight="1">
      <c r="C282" s="140" t="n"/>
    </row>
    <row r="283" ht="14.25" customHeight="1">
      <c r="C283" s="140" t="n"/>
    </row>
    <row r="284" ht="14.25" customHeight="1">
      <c r="C284" s="140" t="n"/>
    </row>
    <row r="285" ht="14.25" customHeight="1">
      <c r="C285" s="140" t="n"/>
    </row>
    <row r="286" ht="14.25" customHeight="1">
      <c r="C286" s="140" t="n"/>
    </row>
    <row r="287" ht="14.25" customHeight="1">
      <c r="C287" s="140" t="n"/>
    </row>
    <row r="288" ht="14.25" customHeight="1">
      <c r="C288" s="140" t="n"/>
    </row>
    <row r="289" ht="14.25" customHeight="1">
      <c r="C289" s="140" t="n"/>
    </row>
    <row r="290" ht="14.25" customHeight="1">
      <c r="C290" s="140" t="n"/>
    </row>
    <row r="291" ht="14.25" customHeight="1">
      <c r="C291" s="140" t="n"/>
    </row>
    <row r="292" ht="14.25" customHeight="1">
      <c r="C292" s="140" t="n"/>
    </row>
    <row r="293" ht="14.25" customHeight="1">
      <c r="C293" s="140" t="n"/>
    </row>
    <row r="294" ht="14.25" customHeight="1">
      <c r="C294" s="140" t="n"/>
    </row>
    <row r="295" ht="14.25" customHeight="1">
      <c r="C295" s="140" t="n"/>
    </row>
    <row r="296" ht="14.25" customHeight="1">
      <c r="C296" s="140" t="n"/>
    </row>
    <row r="297" ht="14.25" customHeight="1">
      <c r="C297" s="140" t="n"/>
    </row>
    <row r="298" ht="14.25" customHeight="1">
      <c r="C298" s="140" t="n"/>
    </row>
    <row r="299" ht="14.25" customHeight="1">
      <c r="C299" s="140" t="n"/>
    </row>
    <row r="300" ht="14.25" customHeight="1">
      <c r="C300" s="140" t="n"/>
    </row>
    <row r="301" ht="14.25" customHeight="1">
      <c r="C301" s="140" t="n"/>
    </row>
    <row r="302" ht="14.25" customHeight="1">
      <c r="C302" s="140" t="n"/>
    </row>
    <row r="303" ht="14.25" customHeight="1">
      <c r="C303" s="140" t="n"/>
    </row>
    <row r="304" ht="14.25" customHeight="1">
      <c r="C304" s="140" t="n"/>
    </row>
    <row r="305" ht="14.25" customHeight="1">
      <c r="C305" s="140" t="n"/>
    </row>
    <row r="306" ht="14.25" customHeight="1">
      <c r="C306" s="140" t="n"/>
    </row>
    <row r="307" ht="14.25" customHeight="1">
      <c r="C307" s="140" t="n"/>
    </row>
    <row r="308" ht="14.25" customHeight="1">
      <c r="C308" s="140" t="n"/>
    </row>
    <row r="309" ht="14.25" customHeight="1">
      <c r="C309" s="140" t="n"/>
    </row>
    <row r="310" ht="14.25" customHeight="1">
      <c r="C310" s="140" t="n"/>
    </row>
    <row r="311" ht="14.25" customHeight="1">
      <c r="C311" s="140" t="n"/>
    </row>
    <row r="312" ht="14.25" customHeight="1">
      <c r="C312" s="140" t="n"/>
    </row>
    <row r="313" ht="14.25" customHeight="1">
      <c r="C313" s="140" t="n"/>
    </row>
    <row r="314" ht="14.25" customHeight="1">
      <c r="C314" s="140" t="n"/>
    </row>
    <row r="315" ht="14.25" customHeight="1">
      <c r="C315" s="140" t="n"/>
    </row>
    <row r="316" ht="14.25" customHeight="1">
      <c r="C316" s="140" t="n"/>
    </row>
    <row r="317" ht="14.25" customHeight="1">
      <c r="C317" s="140" t="n"/>
    </row>
    <row r="318" ht="14.25" customHeight="1">
      <c r="C318" s="140" t="n"/>
    </row>
    <row r="319" ht="14.25" customHeight="1">
      <c r="C319" s="140" t="n"/>
    </row>
    <row r="320" ht="14.25" customHeight="1">
      <c r="C320" s="140" t="n"/>
    </row>
    <row r="321" ht="14.25" customHeight="1">
      <c r="C321" s="140" t="n"/>
    </row>
    <row r="322" ht="14.25" customHeight="1">
      <c r="C322" s="140" t="n"/>
    </row>
    <row r="323" ht="14.25" customHeight="1">
      <c r="C323" s="140" t="n"/>
    </row>
    <row r="324" ht="14.25" customHeight="1">
      <c r="C324" s="140" t="n"/>
    </row>
    <row r="325" ht="14.25" customHeight="1">
      <c r="C325" s="140" t="n"/>
    </row>
    <row r="326" ht="14.25" customHeight="1">
      <c r="C326" s="140" t="n"/>
    </row>
    <row r="327" ht="14.25" customHeight="1">
      <c r="C327" s="140" t="n"/>
    </row>
    <row r="328" ht="14.25" customHeight="1">
      <c r="C328" s="140" t="n"/>
    </row>
    <row r="329" ht="14.25" customHeight="1">
      <c r="C329" s="140" t="n"/>
    </row>
    <row r="330" ht="14.25" customHeight="1">
      <c r="C330" s="140" t="n"/>
    </row>
    <row r="331" ht="14.25" customHeight="1">
      <c r="C331" s="140" t="n"/>
    </row>
    <row r="332" ht="14.25" customHeight="1">
      <c r="C332" s="140" t="n"/>
    </row>
    <row r="333" ht="14.25" customHeight="1">
      <c r="C333" s="140" t="n"/>
    </row>
    <row r="334" ht="14.25" customHeight="1">
      <c r="C334" s="140" t="n"/>
    </row>
    <row r="335" ht="14.25" customHeight="1">
      <c r="C335" s="140" t="n"/>
    </row>
    <row r="336" ht="14.25" customHeight="1">
      <c r="C336" s="140" t="n"/>
    </row>
    <row r="337" ht="14.25" customHeight="1">
      <c r="C337" s="140" t="n"/>
    </row>
    <row r="338" ht="14.25" customHeight="1">
      <c r="C338" s="140" t="n"/>
    </row>
    <row r="339" ht="14.25" customHeight="1">
      <c r="C339" s="140" t="n"/>
    </row>
    <row r="340" ht="14.25" customHeight="1">
      <c r="C340" s="140" t="n"/>
    </row>
    <row r="341" ht="14.25" customHeight="1">
      <c r="C341" s="140" t="n"/>
    </row>
    <row r="342" ht="14.25" customHeight="1">
      <c r="C342" s="140" t="n"/>
    </row>
    <row r="343" ht="14.25" customHeight="1">
      <c r="C343" s="140" t="n"/>
    </row>
    <row r="344" ht="14.25" customHeight="1">
      <c r="C344" s="140" t="n"/>
    </row>
    <row r="345" ht="14.25" customHeight="1">
      <c r="C345" s="140" t="n"/>
    </row>
    <row r="346" ht="14.25" customHeight="1">
      <c r="C346" s="140" t="n"/>
    </row>
    <row r="347" ht="14.25" customHeight="1">
      <c r="C347" s="140" t="n"/>
    </row>
    <row r="348" ht="14.25" customHeight="1">
      <c r="C348" s="140" t="n"/>
    </row>
    <row r="349" ht="14.25" customHeight="1">
      <c r="C349" s="140" t="n"/>
    </row>
    <row r="350" ht="14.25" customHeight="1">
      <c r="C350" s="140" t="n"/>
    </row>
    <row r="351" ht="14.25" customHeight="1">
      <c r="C351" s="140" t="n"/>
    </row>
    <row r="352" ht="14.25" customHeight="1">
      <c r="C352" s="140" t="n"/>
    </row>
    <row r="353" ht="14.25" customHeight="1">
      <c r="C353" s="140" t="n"/>
    </row>
    <row r="354" ht="14.25" customHeight="1">
      <c r="C354" s="140" t="n"/>
    </row>
    <row r="355" ht="14.25" customHeight="1">
      <c r="C355" s="140" t="n"/>
    </row>
    <row r="356" ht="14.25" customHeight="1">
      <c r="C356" s="140" t="n"/>
    </row>
    <row r="357" ht="14.25" customHeight="1">
      <c r="C357" s="140" t="n"/>
    </row>
    <row r="358" ht="14.25" customHeight="1">
      <c r="C358" s="140" t="n"/>
    </row>
    <row r="359" ht="14.25" customHeight="1">
      <c r="C359" s="140" t="n"/>
    </row>
    <row r="360" ht="14.25" customHeight="1">
      <c r="C360" s="140" t="n"/>
    </row>
    <row r="361" ht="14.25" customHeight="1">
      <c r="C361" s="140" t="n"/>
    </row>
    <row r="362" ht="14.25" customHeight="1">
      <c r="C362" s="140" t="n"/>
    </row>
    <row r="363" ht="14.25" customHeight="1">
      <c r="C363" s="140" t="n"/>
    </row>
    <row r="364" ht="14.25" customHeight="1">
      <c r="C364" s="140" t="n"/>
    </row>
    <row r="365" ht="14.25" customHeight="1">
      <c r="C365" s="140" t="n"/>
    </row>
    <row r="366" ht="14.25" customHeight="1">
      <c r="C366" s="140" t="n"/>
    </row>
    <row r="367" ht="14.25" customHeight="1">
      <c r="C367" s="140" t="n"/>
    </row>
    <row r="368" ht="14.25" customHeight="1">
      <c r="C368" s="140" t="n"/>
    </row>
    <row r="369" ht="14.25" customHeight="1">
      <c r="C369" s="140" t="n"/>
    </row>
    <row r="370" ht="14.25" customHeight="1">
      <c r="C370" s="140" t="n"/>
    </row>
    <row r="371" ht="14.25" customHeight="1">
      <c r="C371" s="140" t="n"/>
    </row>
    <row r="372" ht="14.25" customHeight="1">
      <c r="C372" s="140" t="n"/>
    </row>
    <row r="373" ht="14.25" customHeight="1">
      <c r="C373" s="140" t="n"/>
    </row>
    <row r="374" ht="14.25" customHeight="1">
      <c r="C374" s="140" t="n"/>
    </row>
    <row r="375" ht="14.25" customHeight="1">
      <c r="C375" s="140" t="n"/>
    </row>
    <row r="376" ht="14.25" customHeight="1">
      <c r="C376" s="140" t="n"/>
    </row>
    <row r="377" ht="14.25" customHeight="1">
      <c r="C377" s="140" t="n"/>
    </row>
    <row r="378" ht="14.25" customHeight="1">
      <c r="C378" s="140" t="n"/>
    </row>
    <row r="379" ht="14.25" customHeight="1">
      <c r="C379" s="140" t="n"/>
    </row>
    <row r="380" ht="14.25" customHeight="1">
      <c r="C380" s="140" t="n"/>
    </row>
    <row r="381" ht="14.25" customHeight="1">
      <c r="C381" s="140" t="n"/>
    </row>
    <row r="382" ht="14.25" customHeight="1">
      <c r="C382" s="140" t="n"/>
    </row>
    <row r="383" ht="14.25" customHeight="1">
      <c r="C383" s="140" t="n"/>
    </row>
    <row r="384" ht="14.25" customHeight="1">
      <c r="C384" s="140" t="n"/>
    </row>
    <row r="385" ht="14.25" customHeight="1">
      <c r="C385" s="140" t="n"/>
    </row>
    <row r="386" ht="14.25" customHeight="1">
      <c r="C386" s="140" t="n"/>
    </row>
    <row r="387" ht="14.25" customHeight="1">
      <c r="C387" s="140" t="n"/>
    </row>
    <row r="388" ht="14.25" customHeight="1">
      <c r="C388" s="140" t="n"/>
    </row>
    <row r="389" ht="14.25" customHeight="1">
      <c r="C389" s="140" t="n"/>
    </row>
    <row r="390" ht="14.25" customHeight="1">
      <c r="C390" s="140" t="n"/>
    </row>
    <row r="391" ht="14.25" customHeight="1">
      <c r="C391" s="140" t="n"/>
    </row>
    <row r="392" ht="14.25" customHeight="1">
      <c r="C392" s="140" t="n"/>
    </row>
    <row r="393" ht="14.25" customHeight="1">
      <c r="C393" s="140" t="n"/>
    </row>
    <row r="394" ht="14.25" customHeight="1">
      <c r="C394" s="140" t="n"/>
    </row>
    <row r="395" ht="14.25" customHeight="1">
      <c r="C395" s="140" t="n"/>
    </row>
    <row r="396" ht="14.25" customHeight="1">
      <c r="C396" s="140" t="n"/>
    </row>
    <row r="397" ht="14.25" customHeight="1">
      <c r="C397" s="140" t="n"/>
    </row>
    <row r="398" ht="14.25" customHeight="1">
      <c r="C398" s="140" t="n"/>
    </row>
    <row r="399" ht="14.25" customHeight="1">
      <c r="C399" s="140" t="n"/>
    </row>
    <row r="400" ht="14.25" customHeight="1">
      <c r="C400" s="140" t="n"/>
    </row>
    <row r="401" ht="14.25" customHeight="1">
      <c r="C401" s="140" t="n"/>
    </row>
    <row r="402" ht="14.25" customHeight="1">
      <c r="C402" s="140" t="n"/>
    </row>
    <row r="403" ht="14.25" customHeight="1">
      <c r="C403" s="140" t="n"/>
    </row>
    <row r="404" ht="14.25" customHeight="1">
      <c r="C404" s="140" t="n"/>
    </row>
    <row r="405" ht="14.25" customHeight="1">
      <c r="C405" s="140" t="n"/>
    </row>
    <row r="406" ht="14.25" customHeight="1">
      <c r="C406" s="140" t="n"/>
    </row>
    <row r="407" ht="14.25" customHeight="1">
      <c r="C407" s="140" t="n"/>
    </row>
    <row r="408" ht="14.25" customHeight="1">
      <c r="C408" s="140" t="n"/>
    </row>
    <row r="409" ht="14.25" customHeight="1">
      <c r="C409" s="140" t="n"/>
    </row>
    <row r="410" ht="14.25" customHeight="1">
      <c r="C410" s="140" t="n"/>
    </row>
    <row r="411" ht="14.25" customHeight="1">
      <c r="C411" s="140" t="n"/>
    </row>
    <row r="412" ht="14.25" customHeight="1">
      <c r="C412" s="140" t="n"/>
    </row>
    <row r="413" ht="14.25" customHeight="1">
      <c r="C413" s="140" t="n"/>
    </row>
    <row r="414" ht="14.25" customHeight="1">
      <c r="C414" s="140" t="n"/>
    </row>
    <row r="415" ht="14.25" customHeight="1">
      <c r="C415" s="140" t="n"/>
    </row>
    <row r="416" ht="14.25" customHeight="1">
      <c r="C416" s="140" t="n"/>
    </row>
    <row r="417" ht="14.25" customHeight="1">
      <c r="C417" s="140" t="n"/>
    </row>
    <row r="418" ht="14.25" customHeight="1">
      <c r="C418" s="140" t="n"/>
    </row>
    <row r="419" ht="14.25" customHeight="1">
      <c r="C419" s="140" t="n"/>
    </row>
    <row r="420" ht="14.25" customHeight="1">
      <c r="C420" s="140" t="n"/>
    </row>
    <row r="421" ht="14.25" customHeight="1">
      <c r="C421" s="140" t="n"/>
    </row>
    <row r="422" ht="14.25" customHeight="1">
      <c r="C422" s="140" t="n"/>
    </row>
    <row r="423" ht="14.25" customHeight="1">
      <c r="C423" s="140" t="n"/>
    </row>
    <row r="424" ht="14.25" customHeight="1">
      <c r="C424" s="140" t="n"/>
    </row>
    <row r="425" ht="14.25" customHeight="1">
      <c r="C425" s="140" t="n"/>
    </row>
    <row r="426" ht="14.25" customHeight="1">
      <c r="C426" s="140" t="n"/>
    </row>
    <row r="427" ht="14.25" customHeight="1">
      <c r="C427" s="140" t="n"/>
    </row>
    <row r="428" ht="14.25" customHeight="1">
      <c r="C428" s="140" t="n"/>
    </row>
    <row r="429" ht="14.25" customHeight="1">
      <c r="C429" s="140" t="n"/>
    </row>
    <row r="430" ht="14.25" customHeight="1">
      <c r="C430" s="140" t="n"/>
    </row>
    <row r="431" ht="14.25" customHeight="1">
      <c r="C431" s="140" t="n"/>
    </row>
    <row r="432" ht="14.25" customHeight="1">
      <c r="C432" s="140" t="n"/>
    </row>
    <row r="433" ht="14.25" customHeight="1">
      <c r="C433" s="140" t="n"/>
    </row>
    <row r="434" ht="14.25" customHeight="1">
      <c r="C434" s="140" t="n"/>
    </row>
    <row r="435" ht="14.25" customHeight="1">
      <c r="C435" s="140" t="n"/>
    </row>
    <row r="436" ht="14.25" customHeight="1">
      <c r="C436" s="140" t="n"/>
    </row>
    <row r="437" ht="14.25" customHeight="1">
      <c r="C437" s="140" t="n"/>
    </row>
    <row r="438" ht="14.25" customHeight="1">
      <c r="C438" s="140" t="n"/>
    </row>
    <row r="439" ht="14.25" customHeight="1">
      <c r="C439" s="140" t="n"/>
    </row>
    <row r="440" ht="14.25" customHeight="1">
      <c r="C440" s="140" t="n"/>
    </row>
    <row r="441" ht="14.25" customHeight="1">
      <c r="C441" s="140" t="n"/>
    </row>
    <row r="442" ht="14.25" customHeight="1">
      <c r="C442" s="140" t="n"/>
    </row>
    <row r="443" ht="14.25" customHeight="1">
      <c r="C443" s="140" t="n"/>
    </row>
    <row r="444" ht="14.25" customHeight="1">
      <c r="C444" s="140" t="n"/>
    </row>
    <row r="445" ht="14.25" customHeight="1">
      <c r="C445" s="140" t="n"/>
    </row>
    <row r="446" ht="14.25" customHeight="1">
      <c r="C446" s="140" t="n"/>
    </row>
    <row r="447" ht="14.25" customHeight="1">
      <c r="C447" s="140" t="n"/>
    </row>
    <row r="448" ht="14.25" customHeight="1">
      <c r="C448" s="140" t="n"/>
    </row>
    <row r="449" ht="14.25" customHeight="1">
      <c r="C449" s="140" t="n"/>
    </row>
    <row r="450" ht="14.25" customHeight="1">
      <c r="C450" s="140" t="n"/>
    </row>
    <row r="451" ht="14.25" customHeight="1">
      <c r="C451" s="140" t="n"/>
    </row>
    <row r="452" ht="14.25" customHeight="1">
      <c r="C452" s="140" t="n"/>
    </row>
    <row r="453" ht="14.25" customHeight="1">
      <c r="C453" s="140" t="n"/>
    </row>
    <row r="454" ht="14.25" customHeight="1">
      <c r="C454" s="140" t="n"/>
    </row>
    <row r="455" ht="14.25" customHeight="1">
      <c r="C455" s="140" t="n"/>
    </row>
    <row r="456" ht="14.25" customHeight="1">
      <c r="C456" s="140" t="n"/>
    </row>
    <row r="457" ht="14.25" customHeight="1">
      <c r="C457" s="140" t="n"/>
    </row>
    <row r="458" ht="14.25" customHeight="1">
      <c r="C458" s="140" t="n"/>
    </row>
    <row r="459" ht="14.25" customHeight="1">
      <c r="C459" s="140" t="n"/>
    </row>
    <row r="460" ht="14.25" customHeight="1">
      <c r="C460" s="140" t="n"/>
    </row>
    <row r="461" ht="14.25" customHeight="1">
      <c r="C461" s="140" t="n"/>
    </row>
    <row r="462" ht="14.25" customHeight="1">
      <c r="C462" s="140" t="n"/>
    </row>
    <row r="463" ht="14.25" customHeight="1">
      <c r="C463" s="140" t="n"/>
    </row>
    <row r="464" ht="14.25" customHeight="1">
      <c r="C464" s="140" t="n"/>
    </row>
    <row r="465" ht="14.25" customHeight="1">
      <c r="C465" s="140" t="n"/>
    </row>
    <row r="466" ht="14.25" customHeight="1">
      <c r="C466" s="140" t="n"/>
    </row>
    <row r="467" ht="14.25" customHeight="1">
      <c r="C467" s="140" t="n"/>
    </row>
    <row r="468" ht="14.25" customHeight="1">
      <c r="C468" s="140" t="n"/>
    </row>
    <row r="469" ht="14.25" customHeight="1">
      <c r="C469" s="140" t="n"/>
    </row>
    <row r="470" ht="14.25" customHeight="1">
      <c r="C470" s="140" t="n"/>
    </row>
    <row r="471" ht="14.25" customHeight="1">
      <c r="C471" s="140" t="n"/>
    </row>
    <row r="472" ht="14.25" customHeight="1">
      <c r="C472" s="140" t="n"/>
    </row>
    <row r="473" ht="14.25" customHeight="1">
      <c r="C473" s="140" t="n"/>
    </row>
    <row r="474" ht="14.25" customHeight="1">
      <c r="C474" s="140" t="n"/>
    </row>
    <row r="475" ht="14.25" customHeight="1">
      <c r="C475" s="140" t="n"/>
    </row>
    <row r="476" ht="14.25" customHeight="1">
      <c r="C476" s="140" t="n"/>
    </row>
    <row r="477" ht="14.25" customHeight="1">
      <c r="C477" s="140" t="n"/>
    </row>
    <row r="478" ht="14.25" customHeight="1">
      <c r="C478" s="140" t="n"/>
    </row>
    <row r="479" ht="14.25" customHeight="1">
      <c r="C479" s="140" t="n"/>
    </row>
    <row r="480" ht="14.25" customHeight="1">
      <c r="C480" s="140" t="n"/>
    </row>
    <row r="481" ht="14.25" customHeight="1">
      <c r="C481" s="140" t="n"/>
    </row>
    <row r="482" ht="14.25" customHeight="1">
      <c r="C482" s="140" t="n"/>
    </row>
    <row r="483" ht="14.25" customHeight="1">
      <c r="C483" s="140" t="n"/>
    </row>
    <row r="484" ht="14.25" customHeight="1">
      <c r="C484" s="140" t="n"/>
    </row>
    <row r="485" ht="14.25" customHeight="1">
      <c r="C485" s="140" t="n"/>
    </row>
    <row r="486" ht="14.25" customHeight="1">
      <c r="C486" s="140" t="n"/>
    </row>
    <row r="487" ht="14.25" customHeight="1">
      <c r="C487" s="140" t="n"/>
    </row>
    <row r="488" ht="14.25" customHeight="1">
      <c r="C488" s="140" t="n"/>
    </row>
    <row r="489" ht="14.25" customHeight="1">
      <c r="C489" s="140" t="n"/>
    </row>
    <row r="490" ht="14.25" customHeight="1">
      <c r="C490" s="140" t="n"/>
    </row>
    <row r="491" ht="14.25" customHeight="1">
      <c r="C491" s="140" t="n"/>
    </row>
    <row r="492" ht="14.25" customHeight="1">
      <c r="C492" s="140" t="n"/>
    </row>
    <row r="493" ht="14.25" customHeight="1">
      <c r="C493" s="140" t="n"/>
    </row>
    <row r="494" ht="14.25" customHeight="1">
      <c r="C494" s="140" t="n"/>
    </row>
    <row r="495" ht="14.25" customHeight="1">
      <c r="C495" s="140" t="n"/>
    </row>
    <row r="496" ht="14.25" customHeight="1">
      <c r="C496" s="140" t="n"/>
    </row>
    <row r="497" ht="14.25" customHeight="1">
      <c r="C497" s="140" t="n"/>
    </row>
    <row r="498" ht="14.25" customHeight="1">
      <c r="C498" s="140" t="n"/>
    </row>
    <row r="499" ht="14.25" customHeight="1">
      <c r="C499" s="140" t="n"/>
    </row>
    <row r="500" ht="14.25" customHeight="1">
      <c r="C500" s="140" t="n"/>
    </row>
    <row r="501" ht="14.25" customHeight="1">
      <c r="C501" s="140" t="n"/>
    </row>
    <row r="502" ht="14.25" customHeight="1">
      <c r="C502" s="140" t="n"/>
    </row>
    <row r="503" ht="14.25" customHeight="1">
      <c r="C503" s="140" t="n"/>
    </row>
    <row r="504" ht="14.25" customHeight="1">
      <c r="C504" s="140" t="n"/>
    </row>
    <row r="505" ht="14.25" customHeight="1">
      <c r="C505" s="140" t="n"/>
    </row>
    <row r="506" ht="14.25" customHeight="1">
      <c r="C506" s="140" t="n"/>
    </row>
    <row r="507" ht="14.25" customHeight="1">
      <c r="C507" s="140" t="n"/>
    </row>
    <row r="508" ht="14.25" customHeight="1">
      <c r="C508" s="140" t="n"/>
    </row>
    <row r="509" ht="14.25" customHeight="1">
      <c r="C509" s="140" t="n"/>
    </row>
    <row r="510" ht="14.25" customHeight="1">
      <c r="C510" s="140" t="n"/>
    </row>
    <row r="511" ht="14.25" customHeight="1">
      <c r="C511" s="140" t="n"/>
    </row>
    <row r="512" ht="14.25" customHeight="1">
      <c r="C512" s="140" t="n"/>
    </row>
    <row r="513" ht="14.25" customHeight="1">
      <c r="C513" s="140" t="n"/>
    </row>
    <row r="514" ht="14.25" customHeight="1">
      <c r="C514" s="140" t="n"/>
    </row>
    <row r="515" ht="14.25" customHeight="1">
      <c r="C515" s="140" t="n"/>
    </row>
    <row r="516" ht="14.25" customHeight="1">
      <c r="C516" s="140" t="n"/>
    </row>
    <row r="517" ht="14.25" customHeight="1">
      <c r="C517" s="140" t="n"/>
    </row>
    <row r="518" ht="14.25" customHeight="1">
      <c r="C518" s="140" t="n"/>
    </row>
    <row r="519" ht="14.25" customHeight="1">
      <c r="C519" s="140" t="n"/>
    </row>
    <row r="520" ht="14.25" customHeight="1">
      <c r="C520" s="140" t="n"/>
    </row>
    <row r="521" ht="14.25" customHeight="1">
      <c r="C521" s="140" t="n"/>
    </row>
    <row r="522" ht="14.25" customHeight="1">
      <c r="C522" s="140" t="n"/>
    </row>
    <row r="523" ht="14.25" customHeight="1">
      <c r="C523" s="140" t="n"/>
    </row>
    <row r="524" ht="14.25" customHeight="1">
      <c r="C524" s="140" t="n"/>
    </row>
    <row r="525" ht="14.25" customHeight="1">
      <c r="C525" s="140" t="n"/>
    </row>
    <row r="526" ht="14.25" customHeight="1">
      <c r="C526" s="140" t="n"/>
    </row>
    <row r="527" ht="14.25" customHeight="1">
      <c r="C527" s="140" t="n"/>
    </row>
    <row r="528" ht="14.25" customHeight="1">
      <c r="C528" s="140" t="n"/>
    </row>
    <row r="529" ht="14.25" customHeight="1">
      <c r="C529" s="140" t="n"/>
    </row>
    <row r="530" ht="14.25" customHeight="1">
      <c r="C530" s="140" t="n"/>
    </row>
    <row r="531" ht="14.25" customHeight="1">
      <c r="C531" s="140" t="n"/>
    </row>
    <row r="532" ht="14.25" customHeight="1">
      <c r="C532" s="140" t="n"/>
    </row>
    <row r="533" ht="14.25" customHeight="1">
      <c r="C533" s="140" t="n"/>
    </row>
    <row r="534" ht="14.25" customHeight="1">
      <c r="C534" s="140" t="n"/>
    </row>
    <row r="535" ht="14.25" customHeight="1">
      <c r="C535" s="140" t="n"/>
    </row>
    <row r="536" ht="14.25" customHeight="1">
      <c r="C536" s="140" t="n"/>
    </row>
    <row r="537" ht="14.25" customHeight="1">
      <c r="C537" s="140" t="n"/>
    </row>
    <row r="538" ht="14.25" customHeight="1">
      <c r="C538" s="140" t="n"/>
    </row>
    <row r="539" ht="14.25" customHeight="1">
      <c r="C539" s="140" t="n"/>
    </row>
    <row r="540" ht="14.25" customHeight="1">
      <c r="C540" s="140" t="n"/>
    </row>
    <row r="541" ht="14.25" customHeight="1">
      <c r="C541" s="140" t="n"/>
    </row>
    <row r="542" ht="14.25" customHeight="1">
      <c r="C542" s="140" t="n"/>
    </row>
    <row r="543" ht="14.25" customHeight="1">
      <c r="C543" s="140" t="n"/>
    </row>
    <row r="544" ht="14.25" customHeight="1">
      <c r="C544" s="140" t="n"/>
    </row>
    <row r="545" ht="14.25" customHeight="1">
      <c r="C545" s="140" t="n"/>
    </row>
    <row r="546" ht="14.25" customHeight="1">
      <c r="C546" s="140" t="n"/>
    </row>
    <row r="547" ht="14.25" customHeight="1">
      <c r="C547" s="140" t="n"/>
    </row>
    <row r="548" ht="14.25" customHeight="1">
      <c r="C548" s="140" t="n"/>
    </row>
    <row r="549" ht="14.25" customHeight="1">
      <c r="C549" s="140" t="n"/>
    </row>
    <row r="550" ht="14.25" customHeight="1">
      <c r="C550" s="140" t="n"/>
    </row>
    <row r="551" ht="14.25" customHeight="1">
      <c r="C551" s="140" t="n"/>
    </row>
    <row r="552" ht="14.25" customHeight="1">
      <c r="C552" s="140" t="n"/>
    </row>
    <row r="553" ht="14.25" customHeight="1">
      <c r="C553" s="140" t="n"/>
    </row>
    <row r="554" ht="14.25" customHeight="1">
      <c r="C554" s="140" t="n"/>
    </row>
    <row r="555" ht="14.25" customHeight="1">
      <c r="C555" s="140" t="n"/>
    </row>
    <row r="556" ht="14.25" customHeight="1">
      <c r="C556" s="140" t="n"/>
    </row>
    <row r="557" ht="14.25" customHeight="1">
      <c r="C557" s="140" t="n"/>
    </row>
    <row r="558" ht="14.25" customHeight="1">
      <c r="C558" s="140" t="n"/>
    </row>
    <row r="559" ht="14.25" customHeight="1">
      <c r="C559" s="140" t="n"/>
    </row>
    <row r="560" ht="14.25" customHeight="1">
      <c r="C560" s="140" t="n"/>
    </row>
    <row r="561" ht="14.25" customHeight="1">
      <c r="C561" s="140" t="n"/>
    </row>
    <row r="562" ht="14.25" customHeight="1">
      <c r="C562" s="140" t="n"/>
    </row>
    <row r="563" ht="14.25" customHeight="1">
      <c r="C563" s="140" t="n"/>
    </row>
    <row r="564" ht="14.25" customHeight="1">
      <c r="C564" s="140" t="n"/>
    </row>
    <row r="565" ht="14.25" customHeight="1">
      <c r="C565" s="140" t="n"/>
    </row>
    <row r="566" ht="14.25" customHeight="1">
      <c r="C566" s="140" t="n"/>
    </row>
    <row r="567" ht="14.25" customHeight="1">
      <c r="C567" s="140" t="n"/>
    </row>
    <row r="568" ht="14.25" customHeight="1">
      <c r="C568" s="140" t="n"/>
    </row>
    <row r="569" ht="14.25" customHeight="1">
      <c r="C569" s="140" t="n"/>
    </row>
    <row r="570" ht="14.25" customHeight="1">
      <c r="C570" s="140" t="n"/>
    </row>
    <row r="571" ht="14.25" customHeight="1">
      <c r="C571" s="140" t="n"/>
    </row>
    <row r="572" ht="14.25" customHeight="1">
      <c r="C572" s="140" t="n"/>
    </row>
    <row r="573" ht="14.25" customHeight="1">
      <c r="C573" s="140" t="n"/>
    </row>
    <row r="574" ht="14.25" customHeight="1">
      <c r="C574" s="140" t="n"/>
    </row>
    <row r="575" ht="14.25" customHeight="1">
      <c r="C575" s="140" t="n"/>
    </row>
    <row r="576" ht="14.25" customHeight="1">
      <c r="C576" s="140" t="n"/>
    </row>
    <row r="577" ht="14.25" customHeight="1">
      <c r="C577" s="140" t="n"/>
    </row>
    <row r="578" ht="14.25" customHeight="1">
      <c r="C578" s="140" t="n"/>
    </row>
    <row r="579" ht="14.25" customHeight="1">
      <c r="C579" s="140" t="n"/>
    </row>
    <row r="580" ht="14.25" customHeight="1">
      <c r="C580" s="140" t="n"/>
    </row>
    <row r="581" ht="14.25" customHeight="1">
      <c r="C581" s="140" t="n"/>
    </row>
    <row r="582" ht="14.25" customHeight="1">
      <c r="C582" s="140" t="n"/>
    </row>
    <row r="583" ht="14.25" customHeight="1">
      <c r="C583" s="140" t="n"/>
    </row>
    <row r="584" ht="14.25" customHeight="1">
      <c r="C584" s="140" t="n"/>
    </row>
    <row r="585" ht="14.25" customHeight="1">
      <c r="C585" s="140" t="n"/>
    </row>
    <row r="586" ht="14.25" customHeight="1">
      <c r="C586" s="140" t="n"/>
    </row>
    <row r="587" ht="14.25" customHeight="1">
      <c r="C587" s="140" t="n"/>
    </row>
    <row r="588" ht="14.25" customHeight="1">
      <c r="C588" s="140" t="n"/>
    </row>
    <row r="589" ht="14.25" customHeight="1">
      <c r="C589" s="140" t="n"/>
    </row>
    <row r="590" ht="14.25" customHeight="1">
      <c r="C590" s="140" t="n"/>
    </row>
    <row r="591" ht="14.25" customHeight="1">
      <c r="C591" s="140" t="n"/>
    </row>
    <row r="592" ht="14.25" customHeight="1">
      <c r="C592" s="140" t="n"/>
    </row>
    <row r="593" ht="14.25" customHeight="1">
      <c r="C593" s="140" t="n"/>
    </row>
    <row r="594" ht="14.25" customHeight="1">
      <c r="C594" s="140" t="n"/>
    </row>
    <row r="595" ht="14.25" customHeight="1">
      <c r="C595" s="140" t="n"/>
    </row>
    <row r="596" ht="14.25" customHeight="1">
      <c r="C596" s="140" t="n"/>
    </row>
    <row r="597" ht="14.25" customHeight="1">
      <c r="C597" s="140" t="n"/>
    </row>
    <row r="598" ht="14.25" customHeight="1">
      <c r="C598" s="140" t="n"/>
    </row>
    <row r="599" ht="14.25" customHeight="1">
      <c r="C599" s="140" t="n"/>
    </row>
    <row r="600" ht="14.25" customHeight="1">
      <c r="C600" s="140" t="n"/>
    </row>
    <row r="601" ht="14.25" customHeight="1">
      <c r="C601" s="140" t="n"/>
    </row>
    <row r="602" ht="14.25" customHeight="1">
      <c r="C602" s="140" t="n"/>
    </row>
    <row r="603" ht="14.25" customHeight="1">
      <c r="C603" s="140" t="n"/>
    </row>
    <row r="604" ht="14.25" customHeight="1">
      <c r="C604" s="140" t="n"/>
    </row>
    <row r="605" ht="14.25" customHeight="1">
      <c r="C605" s="140" t="n"/>
    </row>
    <row r="606" ht="14.25" customHeight="1">
      <c r="C606" s="140" t="n"/>
    </row>
    <row r="607" ht="14.25" customHeight="1">
      <c r="C607" s="140" t="n"/>
    </row>
    <row r="608" ht="14.25" customHeight="1">
      <c r="C608" s="140" t="n"/>
    </row>
    <row r="609" ht="14.25" customHeight="1">
      <c r="C609" s="140" t="n"/>
    </row>
    <row r="610" ht="14.25" customHeight="1">
      <c r="C610" s="140" t="n"/>
    </row>
    <row r="611" ht="14.25" customHeight="1">
      <c r="C611" s="140" t="n"/>
    </row>
    <row r="612" ht="14.25" customHeight="1">
      <c r="C612" s="140" t="n"/>
    </row>
    <row r="613" ht="14.25" customHeight="1">
      <c r="C613" s="140" t="n"/>
    </row>
    <row r="614" ht="14.25" customHeight="1">
      <c r="C614" s="140" t="n"/>
    </row>
    <row r="615" ht="14.25" customHeight="1">
      <c r="C615" s="140" t="n"/>
    </row>
    <row r="616" ht="14.25" customHeight="1">
      <c r="C616" s="140" t="n"/>
    </row>
    <row r="617" ht="14.25" customHeight="1">
      <c r="C617" s="140" t="n"/>
    </row>
    <row r="618" ht="14.25" customHeight="1">
      <c r="C618" s="140" t="n"/>
    </row>
    <row r="619" ht="14.25" customHeight="1">
      <c r="C619" s="140" t="n"/>
    </row>
    <row r="620" ht="14.25" customHeight="1">
      <c r="C620" s="140" t="n"/>
    </row>
    <row r="621" ht="14.25" customHeight="1">
      <c r="C621" s="140" t="n"/>
    </row>
    <row r="622" ht="14.25" customHeight="1">
      <c r="C622" s="140" t="n"/>
    </row>
    <row r="623" ht="14.25" customHeight="1">
      <c r="C623" s="140" t="n"/>
    </row>
    <row r="624" ht="14.25" customHeight="1">
      <c r="C624" s="140" t="n"/>
    </row>
    <row r="625" ht="14.25" customHeight="1">
      <c r="C625" s="140" t="n"/>
    </row>
    <row r="626" ht="14.25" customHeight="1">
      <c r="C626" s="140" t="n"/>
    </row>
    <row r="627" ht="14.25" customHeight="1">
      <c r="C627" s="140" t="n"/>
    </row>
    <row r="628" ht="14.25" customHeight="1">
      <c r="C628" s="140" t="n"/>
    </row>
    <row r="629" ht="14.25" customHeight="1">
      <c r="C629" s="140" t="n"/>
    </row>
    <row r="630" ht="14.25" customHeight="1">
      <c r="C630" s="140" t="n"/>
    </row>
    <row r="631" ht="14.25" customHeight="1">
      <c r="C631" s="140" t="n"/>
    </row>
    <row r="632" ht="14.25" customHeight="1">
      <c r="C632" s="140" t="n"/>
    </row>
    <row r="633" ht="14.25" customHeight="1">
      <c r="C633" s="140" t="n"/>
    </row>
    <row r="634" ht="14.25" customHeight="1">
      <c r="C634" s="140" t="n"/>
    </row>
    <row r="635" ht="14.25" customHeight="1">
      <c r="C635" s="140" t="n"/>
    </row>
    <row r="636" ht="14.25" customHeight="1">
      <c r="C636" s="140" t="n"/>
    </row>
    <row r="637" ht="14.25" customHeight="1">
      <c r="C637" s="140" t="n"/>
    </row>
    <row r="638" ht="14.25" customHeight="1">
      <c r="C638" s="140" t="n"/>
    </row>
    <row r="639" ht="14.25" customHeight="1">
      <c r="C639" s="140" t="n"/>
    </row>
    <row r="640" ht="14.25" customHeight="1">
      <c r="C640" s="140" t="n"/>
    </row>
    <row r="641" ht="14.25" customHeight="1">
      <c r="C641" s="140" t="n"/>
    </row>
    <row r="642" ht="14.25" customHeight="1">
      <c r="C642" s="140" t="n"/>
    </row>
    <row r="643" ht="14.25" customHeight="1">
      <c r="C643" s="140" t="n"/>
    </row>
    <row r="644" ht="14.25" customHeight="1">
      <c r="C644" s="140" t="n"/>
    </row>
    <row r="645" ht="14.25" customHeight="1">
      <c r="C645" s="140" t="n"/>
    </row>
    <row r="646" ht="14.25" customHeight="1">
      <c r="C646" s="140" t="n"/>
    </row>
    <row r="647" ht="14.25" customHeight="1">
      <c r="C647" s="140" t="n"/>
    </row>
    <row r="648" ht="14.25" customHeight="1">
      <c r="C648" s="140" t="n"/>
    </row>
    <row r="649" ht="14.25" customHeight="1">
      <c r="C649" s="140" t="n"/>
    </row>
    <row r="650" ht="14.25" customHeight="1">
      <c r="C650" s="140" t="n"/>
    </row>
    <row r="651" ht="14.25" customHeight="1">
      <c r="C651" s="140" t="n"/>
    </row>
    <row r="652" ht="14.25" customHeight="1">
      <c r="C652" s="140" t="n"/>
    </row>
    <row r="653" ht="14.25" customHeight="1">
      <c r="C653" s="140" t="n"/>
    </row>
    <row r="654" ht="14.25" customHeight="1">
      <c r="C654" s="140" t="n"/>
    </row>
    <row r="655" ht="14.25" customHeight="1">
      <c r="C655" s="140" t="n"/>
    </row>
    <row r="656" ht="14.25" customHeight="1">
      <c r="C656" s="140" t="n"/>
    </row>
    <row r="657" ht="14.25" customHeight="1">
      <c r="C657" s="140" t="n"/>
    </row>
    <row r="658" ht="14.25" customHeight="1">
      <c r="C658" s="140" t="n"/>
    </row>
    <row r="659" ht="14.25" customHeight="1">
      <c r="C659" s="140" t="n"/>
    </row>
    <row r="660" ht="14.25" customHeight="1">
      <c r="C660" s="140" t="n"/>
    </row>
    <row r="661" ht="14.25" customHeight="1">
      <c r="C661" s="140" t="n"/>
    </row>
    <row r="662" ht="14.25" customHeight="1">
      <c r="C662" s="140" t="n"/>
    </row>
    <row r="663" ht="14.25" customHeight="1">
      <c r="C663" s="140" t="n"/>
    </row>
    <row r="664" ht="14.25" customHeight="1">
      <c r="C664" s="140" t="n"/>
    </row>
    <row r="665" ht="14.25" customHeight="1">
      <c r="C665" s="140" t="n"/>
    </row>
    <row r="666" ht="14.25" customHeight="1">
      <c r="C666" s="140" t="n"/>
    </row>
    <row r="667" ht="14.25" customHeight="1">
      <c r="C667" s="140" t="n"/>
    </row>
    <row r="668" ht="14.25" customHeight="1">
      <c r="C668" s="140" t="n"/>
    </row>
    <row r="669" ht="14.25" customHeight="1">
      <c r="C669" s="140" t="n"/>
    </row>
    <row r="670" ht="14.25" customHeight="1">
      <c r="C670" s="140" t="n"/>
    </row>
    <row r="671" ht="14.25" customHeight="1">
      <c r="C671" s="140" t="n"/>
    </row>
    <row r="672" ht="14.25" customHeight="1">
      <c r="C672" s="140" t="n"/>
    </row>
    <row r="673" ht="14.25" customHeight="1">
      <c r="C673" s="140" t="n"/>
    </row>
    <row r="674" ht="14.25" customHeight="1">
      <c r="C674" s="140" t="n"/>
    </row>
    <row r="675" ht="14.25" customHeight="1">
      <c r="C675" s="140" t="n"/>
    </row>
    <row r="676" ht="14.25" customHeight="1">
      <c r="C676" s="140" t="n"/>
    </row>
    <row r="677" ht="14.25" customHeight="1">
      <c r="C677" s="140" t="n"/>
    </row>
    <row r="678" ht="14.25" customHeight="1">
      <c r="C678" s="140" t="n"/>
    </row>
    <row r="679" ht="14.25" customHeight="1">
      <c r="C679" s="140" t="n"/>
    </row>
    <row r="680" ht="14.25" customHeight="1">
      <c r="C680" s="140" t="n"/>
    </row>
    <row r="681" ht="14.25" customHeight="1">
      <c r="C681" s="140" t="n"/>
    </row>
    <row r="682" ht="14.25" customHeight="1">
      <c r="C682" s="140" t="n"/>
    </row>
    <row r="683" ht="14.25" customHeight="1">
      <c r="C683" s="140" t="n"/>
    </row>
    <row r="684" ht="14.25" customHeight="1">
      <c r="C684" s="140" t="n"/>
    </row>
    <row r="685" ht="14.25" customHeight="1">
      <c r="C685" s="140" t="n"/>
    </row>
    <row r="686" ht="14.25" customHeight="1">
      <c r="C686" s="140" t="n"/>
    </row>
    <row r="687" ht="14.25" customHeight="1">
      <c r="C687" s="140" t="n"/>
    </row>
    <row r="688" ht="14.25" customHeight="1">
      <c r="C688" s="140" t="n"/>
    </row>
    <row r="689" ht="14.25" customHeight="1">
      <c r="C689" s="140" t="n"/>
    </row>
    <row r="690" ht="14.25" customHeight="1">
      <c r="C690" s="140" t="n"/>
    </row>
    <row r="691" ht="14.25" customHeight="1">
      <c r="C691" s="140" t="n"/>
    </row>
    <row r="692" ht="14.25" customHeight="1">
      <c r="C692" s="140" t="n"/>
    </row>
    <row r="693" ht="14.25" customHeight="1">
      <c r="C693" s="140" t="n"/>
    </row>
    <row r="694" ht="14.25" customHeight="1">
      <c r="C694" s="140" t="n"/>
    </row>
    <row r="695" ht="14.25" customHeight="1">
      <c r="C695" s="140" t="n"/>
    </row>
    <row r="696" ht="14.25" customHeight="1">
      <c r="C696" s="140" t="n"/>
    </row>
    <row r="697" ht="14.25" customHeight="1">
      <c r="C697" s="140" t="n"/>
    </row>
    <row r="698" ht="14.25" customHeight="1">
      <c r="C698" s="140" t="n"/>
    </row>
    <row r="699" ht="14.25" customHeight="1">
      <c r="C699" s="140" t="n"/>
    </row>
    <row r="700" ht="14.25" customHeight="1">
      <c r="C700" s="140" t="n"/>
    </row>
    <row r="701" ht="14.25" customHeight="1">
      <c r="C701" s="140" t="n"/>
    </row>
    <row r="702" ht="14.25" customHeight="1">
      <c r="C702" s="140" t="n"/>
    </row>
    <row r="703" ht="14.25" customHeight="1">
      <c r="C703" s="140" t="n"/>
    </row>
    <row r="704" ht="14.25" customHeight="1">
      <c r="C704" s="140" t="n"/>
    </row>
    <row r="705" ht="14.25" customHeight="1">
      <c r="C705" s="140" t="n"/>
    </row>
    <row r="706" ht="14.25" customHeight="1">
      <c r="C706" s="140" t="n"/>
    </row>
    <row r="707" ht="14.25" customHeight="1">
      <c r="C707" s="140" t="n"/>
    </row>
    <row r="708" ht="14.25" customHeight="1">
      <c r="C708" s="140" t="n"/>
    </row>
    <row r="709" ht="14.25" customHeight="1">
      <c r="C709" s="140" t="n"/>
    </row>
    <row r="710" ht="14.25" customHeight="1">
      <c r="C710" s="140" t="n"/>
    </row>
    <row r="711" ht="14.25" customHeight="1">
      <c r="C711" s="140" t="n"/>
    </row>
    <row r="712" ht="14.25" customHeight="1">
      <c r="C712" s="140" t="n"/>
    </row>
    <row r="713" ht="14.25" customHeight="1">
      <c r="C713" s="140" t="n"/>
    </row>
    <row r="714" ht="14.25" customHeight="1">
      <c r="C714" s="140" t="n"/>
    </row>
    <row r="715" ht="14.25" customHeight="1">
      <c r="C715" s="140" t="n"/>
    </row>
    <row r="716" ht="14.25" customHeight="1">
      <c r="C716" s="140" t="n"/>
    </row>
    <row r="717" ht="14.25" customHeight="1">
      <c r="C717" s="140" t="n"/>
    </row>
    <row r="718" ht="14.25" customHeight="1">
      <c r="C718" s="140" t="n"/>
    </row>
    <row r="719" ht="14.25" customHeight="1">
      <c r="C719" s="140" t="n"/>
    </row>
    <row r="720" ht="14.25" customHeight="1">
      <c r="C720" s="140" t="n"/>
    </row>
    <row r="721" ht="14.25" customHeight="1">
      <c r="C721" s="140" t="n"/>
    </row>
    <row r="722" ht="14.25" customHeight="1">
      <c r="C722" s="140" t="n"/>
    </row>
    <row r="723" ht="14.25" customHeight="1">
      <c r="C723" s="140" t="n"/>
    </row>
    <row r="724" ht="14.25" customHeight="1">
      <c r="C724" s="140" t="n"/>
    </row>
    <row r="725" ht="14.25" customHeight="1">
      <c r="C725" s="140" t="n"/>
    </row>
    <row r="726" ht="14.25" customHeight="1">
      <c r="C726" s="140" t="n"/>
    </row>
    <row r="727" ht="14.25" customHeight="1">
      <c r="C727" s="140" t="n"/>
    </row>
    <row r="728" ht="14.25" customHeight="1">
      <c r="C728" s="140" t="n"/>
    </row>
    <row r="729" ht="14.25" customHeight="1">
      <c r="C729" s="140" t="n"/>
    </row>
    <row r="730" ht="14.25" customHeight="1">
      <c r="C730" s="140" t="n"/>
    </row>
    <row r="731" ht="14.25" customHeight="1">
      <c r="C731" s="140" t="n"/>
    </row>
    <row r="732" ht="14.25" customHeight="1">
      <c r="C732" s="140" t="n"/>
    </row>
    <row r="733" ht="14.25" customHeight="1">
      <c r="C733" s="140" t="n"/>
    </row>
    <row r="734" ht="14.25" customHeight="1">
      <c r="C734" s="140" t="n"/>
    </row>
    <row r="735" ht="14.25" customHeight="1">
      <c r="C735" s="140" t="n"/>
    </row>
    <row r="736" ht="14.25" customHeight="1">
      <c r="C736" s="140" t="n"/>
    </row>
    <row r="737" ht="14.25" customHeight="1">
      <c r="C737" s="140" t="n"/>
    </row>
    <row r="738" ht="14.25" customHeight="1">
      <c r="C738" s="140" t="n"/>
    </row>
    <row r="739" ht="14.25" customHeight="1">
      <c r="C739" s="140" t="n"/>
    </row>
    <row r="740" ht="14.25" customHeight="1">
      <c r="C740" s="140" t="n"/>
    </row>
    <row r="741" ht="14.25" customHeight="1">
      <c r="C741" s="140" t="n"/>
    </row>
    <row r="742" ht="14.25" customHeight="1">
      <c r="C742" s="140" t="n"/>
    </row>
    <row r="743" ht="14.25" customHeight="1">
      <c r="C743" s="140" t="n"/>
    </row>
    <row r="744" ht="14.25" customHeight="1">
      <c r="C744" s="140" t="n"/>
    </row>
    <row r="745" ht="14.25" customHeight="1">
      <c r="C745" s="140" t="n"/>
    </row>
    <row r="746" ht="14.25" customHeight="1">
      <c r="C746" s="140" t="n"/>
    </row>
    <row r="747" ht="14.25" customHeight="1">
      <c r="C747" s="140" t="n"/>
    </row>
    <row r="748" ht="14.25" customHeight="1">
      <c r="C748" s="140" t="n"/>
    </row>
    <row r="749" ht="14.25" customHeight="1">
      <c r="C749" s="140" t="n"/>
    </row>
    <row r="750" ht="14.25" customHeight="1">
      <c r="C750" s="140" t="n"/>
    </row>
    <row r="751" ht="14.25" customHeight="1">
      <c r="C751" s="140" t="n"/>
    </row>
    <row r="752" ht="14.25" customHeight="1">
      <c r="C752" s="140" t="n"/>
    </row>
    <row r="753" ht="14.25" customHeight="1">
      <c r="C753" s="140" t="n"/>
    </row>
    <row r="754" ht="14.25" customHeight="1">
      <c r="C754" s="140" t="n"/>
    </row>
    <row r="755" ht="14.25" customHeight="1">
      <c r="C755" s="140" t="n"/>
    </row>
    <row r="756" ht="14.25" customHeight="1">
      <c r="C756" s="140" t="n"/>
    </row>
    <row r="757" ht="14.25" customHeight="1">
      <c r="C757" s="140" t="n"/>
    </row>
    <row r="758" ht="14.25" customHeight="1">
      <c r="C758" s="140" t="n"/>
    </row>
    <row r="759" ht="14.25" customHeight="1">
      <c r="C759" s="140" t="n"/>
    </row>
    <row r="760" ht="14.25" customHeight="1">
      <c r="C760" s="140" t="n"/>
    </row>
    <row r="761" ht="14.25" customHeight="1">
      <c r="C761" s="140" t="n"/>
    </row>
    <row r="762" ht="14.25" customHeight="1">
      <c r="C762" s="140" t="n"/>
    </row>
    <row r="763" ht="14.25" customHeight="1">
      <c r="C763" s="140" t="n"/>
    </row>
    <row r="764" ht="14.25" customHeight="1">
      <c r="C764" s="140" t="n"/>
    </row>
    <row r="765" ht="14.25" customHeight="1">
      <c r="C765" s="140" t="n"/>
    </row>
    <row r="766" ht="14.25" customHeight="1">
      <c r="C766" s="140" t="n"/>
    </row>
    <row r="767" ht="14.25" customHeight="1">
      <c r="C767" s="140" t="n"/>
    </row>
    <row r="768" ht="14.25" customHeight="1">
      <c r="C768" s="140" t="n"/>
    </row>
    <row r="769" ht="14.25" customHeight="1">
      <c r="C769" s="140" t="n"/>
    </row>
    <row r="770" ht="14.25" customHeight="1">
      <c r="C770" s="140" t="n"/>
    </row>
    <row r="771" ht="14.25" customHeight="1">
      <c r="C771" s="140" t="n"/>
    </row>
    <row r="772" ht="14.25" customHeight="1">
      <c r="C772" s="140" t="n"/>
    </row>
    <row r="773" ht="14.25" customHeight="1">
      <c r="C773" s="140" t="n"/>
    </row>
    <row r="774" ht="14.25" customHeight="1">
      <c r="C774" s="140" t="n"/>
    </row>
    <row r="775" ht="14.25" customHeight="1">
      <c r="C775" s="140" t="n"/>
    </row>
    <row r="776" ht="14.25" customHeight="1">
      <c r="C776" s="140" t="n"/>
    </row>
    <row r="777" ht="14.25" customHeight="1">
      <c r="C777" s="140" t="n"/>
    </row>
    <row r="778" ht="14.25" customHeight="1">
      <c r="C778" s="140" t="n"/>
    </row>
    <row r="779" ht="14.25" customHeight="1">
      <c r="C779" s="140" t="n"/>
    </row>
    <row r="780" ht="14.25" customHeight="1">
      <c r="C780" s="140" t="n"/>
    </row>
    <row r="781" ht="14.25" customHeight="1">
      <c r="C781" s="140" t="n"/>
    </row>
    <row r="782" ht="14.25" customHeight="1">
      <c r="C782" s="140" t="n"/>
    </row>
    <row r="783" ht="14.25" customHeight="1">
      <c r="C783" s="140" t="n"/>
    </row>
    <row r="784" ht="14.25" customHeight="1">
      <c r="C784" s="140" t="n"/>
    </row>
    <row r="785" ht="14.25" customHeight="1">
      <c r="C785" s="140" t="n"/>
    </row>
    <row r="786" ht="14.25" customHeight="1">
      <c r="C786" s="140" t="n"/>
    </row>
    <row r="787" ht="14.25" customHeight="1">
      <c r="C787" s="140" t="n"/>
    </row>
    <row r="788" ht="14.25" customHeight="1">
      <c r="C788" s="140" t="n"/>
    </row>
    <row r="789" ht="14.25" customHeight="1">
      <c r="C789" s="140" t="n"/>
    </row>
    <row r="790" ht="14.25" customHeight="1">
      <c r="C790" s="140" t="n"/>
    </row>
    <row r="791" ht="14.25" customHeight="1">
      <c r="C791" s="140" t="n"/>
    </row>
    <row r="792" ht="14.25" customHeight="1">
      <c r="C792" s="140" t="n"/>
    </row>
    <row r="793" ht="14.25" customHeight="1">
      <c r="C793" s="140" t="n"/>
    </row>
    <row r="794" ht="14.25" customHeight="1">
      <c r="C794" s="140" t="n"/>
    </row>
    <row r="795" ht="14.25" customHeight="1">
      <c r="C795" s="140" t="n"/>
    </row>
    <row r="796" ht="14.25" customHeight="1">
      <c r="C796" s="140" t="n"/>
    </row>
    <row r="797" ht="14.25" customHeight="1">
      <c r="C797" s="140" t="n"/>
    </row>
    <row r="798" ht="14.25" customHeight="1">
      <c r="C798" s="140" t="n"/>
    </row>
    <row r="799" ht="14.25" customHeight="1">
      <c r="C799" s="140" t="n"/>
    </row>
    <row r="800" ht="14.25" customHeight="1">
      <c r="C800" s="140" t="n"/>
    </row>
    <row r="801" ht="14.25" customHeight="1">
      <c r="C801" s="140" t="n"/>
    </row>
    <row r="802" ht="14.25" customHeight="1">
      <c r="C802" s="140" t="n"/>
    </row>
    <row r="803" ht="14.25" customHeight="1">
      <c r="C803" s="140" t="n"/>
    </row>
    <row r="804" ht="14.25" customHeight="1">
      <c r="C804" s="140" t="n"/>
    </row>
    <row r="805" ht="14.25" customHeight="1">
      <c r="C805" s="140" t="n"/>
    </row>
    <row r="806" ht="14.25" customHeight="1">
      <c r="C806" s="140" t="n"/>
    </row>
    <row r="807" ht="14.25" customHeight="1">
      <c r="C807" s="140" t="n"/>
    </row>
    <row r="808" ht="14.25" customHeight="1">
      <c r="C808" s="140" t="n"/>
    </row>
    <row r="809" ht="14.25" customHeight="1">
      <c r="C809" s="140" t="n"/>
    </row>
    <row r="810" ht="14.25" customHeight="1">
      <c r="C810" s="140" t="n"/>
    </row>
    <row r="811" ht="14.25" customHeight="1">
      <c r="C811" s="140" t="n"/>
    </row>
    <row r="812" ht="14.25" customHeight="1">
      <c r="C812" s="140" t="n"/>
    </row>
    <row r="813" ht="14.25" customHeight="1">
      <c r="C813" s="140" t="n"/>
    </row>
    <row r="814" ht="14.25" customHeight="1">
      <c r="C814" s="140" t="n"/>
    </row>
    <row r="815" ht="14.25" customHeight="1">
      <c r="C815" s="140" t="n"/>
    </row>
    <row r="816" ht="14.25" customHeight="1">
      <c r="C816" s="140" t="n"/>
    </row>
    <row r="817" ht="14.25" customHeight="1">
      <c r="C817" s="140" t="n"/>
    </row>
    <row r="818" ht="14.25" customHeight="1">
      <c r="C818" s="140" t="n"/>
    </row>
    <row r="819" ht="14.25" customHeight="1">
      <c r="C819" s="140" t="n"/>
    </row>
    <row r="820" ht="14.25" customHeight="1">
      <c r="C820" s="140" t="n"/>
    </row>
    <row r="821" ht="14.25" customHeight="1">
      <c r="C821" s="140" t="n"/>
    </row>
    <row r="822" ht="14.25" customHeight="1">
      <c r="C822" s="140" t="n"/>
    </row>
    <row r="823" ht="14.25" customHeight="1">
      <c r="C823" s="140" t="n"/>
    </row>
    <row r="824" ht="14.25" customHeight="1">
      <c r="C824" s="140" t="n"/>
    </row>
    <row r="825" ht="14.25" customHeight="1">
      <c r="C825" s="140" t="n"/>
    </row>
    <row r="826" ht="14.25" customHeight="1">
      <c r="C826" s="140" t="n"/>
    </row>
    <row r="827" ht="14.25" customHeight="1">
      <c r="C827" s="140" t="n"/>
    </row>
    <row r="828" ht="14.25" customHeight="1">
      <c r="C828" s="140" t="n"/>
    </row>
    <row r="829" ht="14.25" customHeight="1">
      <c r="C829" s="140" t="n"/>
    </row>
    <row r="830" ht="14.25" customHeight="1">
      <c r="C830" s="140" t="n"/>
    </row>
    <row r="831" ht="14.25" customHeight="1">
      <c r="C831" s="140" t="n"/>
    </row>
    <row r="832" ht="14.25" customHeight="1">
      <c r="C832" s="140" t="n"/>
    </row>
    <row r="833" ht="14.25" customHeight="1">
      <c r="C833" s="140" t="n"/>
    </row>
    <row r="834" ht="14.25" customHeight="1">
      <c r="C834" s="140" t="n"/>
    </row>
    <row r="835" ht="14.25" customHeight="1">
      <c r="C835" s="140" t="n"/>
    </row>
    <row r="836" ht="14.25" customHeight="1">
      <c r="C836" s="140" t="n"/>
    </row>
    <row r="837" ht="14.25" customHeight="1">
      <c r="C837" s="140" t="n"/>
    </row>
    <row r="838" ht="14.25" customHeight="1">
      <c r="C838" s="140" t="n"/>
    </row>
    <row r="839" ht="14.25" customHeight="1">
      <c r="C839" s="140" t="n"/>
    </row>
    <row r="840" ht="14.25" customHeight="1">
      <c r="C840" s="140" t="n"/>
    </row>
    <row r="841" ht="14.25" customHeight="1">
      <c r="C841" s="140" t="n"/>
    </row>
    <row r="842" ht="14.25" customHeight="1">
      <c r="C842" s="140" t="n"/>
    </row>
    <row r="843" ht="14.25" customHeight="1">
      <c r="C843" s="140" t="n"/>
    </row>
    <row r="844" ht="14.25" customHeight="1">
      <c r="C844" s="140" t="n"/>
    </row>
    <row r="845" ht="14.25" customHeight="1">
      <c r="C845" s="140" t="n"/>
    </row>
    <row r="846" ht="14.25" customHeight="1">
      <c r="C846" s="140" t="n"/>
    </row>
    <row r="847" ht="14.25" customHeight="1">
      <c r="C847" s="140" t="n"/>
    </row>
    <row r="848" ht="14.25" customHeight="1">
      <c r="C848" s="140" t="n"/>
    </row>
    <row r="849" ht="14.25" customHeight="1">
      <c r="C849" s="140" t="n"/>
    </row>
    <row r="850" ht="14.25" customHeight="1">
      <c r="C850" s="140" t="n"/>
    </row>
    <row r="851" ht="14.25" customHeight="1">
      <c r="C851" s="140" t="n"/>
    </row>
    <row r="852" ht="14.25" customHeight="1">
      <c r="C852" s="140" t="n"/>
    </row>
    <row r="853" ht="14.25" customHeight="1">
      <c r="C853" s="140" t="n"/>
    </row>
    <row r="854" ht="14.25" customHeight="1">
      <c r="C854" s="140" t="n"/>
    </row>
    <row r="855" ht="14.25" customHeight="1">
      <c r="C855" s="140" t="n"/>
    </row>
    <row r="856" ht="14.25" customHeight="1">
      <c r="C856" s="140" t="n"/>
    </row>
    <row r="857" ht="14.25" customHeight="1">
      <c r="C857" s="140" t="n"/>
    </row>
    <row r="858" ht="14.25" customHeight="1">
      <c r="C858" s="140" t="n"/>
    </row>
    <row r="859" ht="14.25" customHeight="1">
      <c r="C859" s="140" t="n"/>
    </row>
    <row r="860" ht="14.25" customHeight="1">
      <c r="C860" s="140" t="n"/>
    </row>
    <row r="861" ht="14.25" customHeight="1">
      <c r="C861" s="140" t="n"/>
    </row>
    <row r="862" ht="14.25" customHeight="1">
      <c r="C862" s="140" t="n"/>
    </row>
    <row r="863" ht="14.25" customHeight="1">
      <c r="C863" s="140" t="n"/>
    </row>
    <row r="864" ht="14.25" customHeight="1">
      <c r="C864" s="140" t="n"/>
    </row>
    <row r="865" ht="14.25" customHeight="1">
      <c r="C865" s="140" t="n"/>
    </row>
    <row r="866" ht="14.25" customHeight="1">
      <c r="C866" s="140" t="n"/>
    </row>
    <row r="867" ht="14.25" customHeight="1">
      <c r="C867" s="140" t="n"/>
    </row>
    <row r="868" ht="14.25" customHeight="1">
      <c r="C868" s="140" t="n"/>
    </row>
    <row r="869" ht="14.25" customHeight="1">
      <c r="C869" s="140" t="n"/>
    </row>
    <row r="870" ht="14.25" customHeight="1">
      <c r="C870" s="140" t="n"/>
    </row>
    <row r="871" ht="14.25" customHeight="1">
      <c r="C871" s="140" t="n"/>
    </row>
    <row r="872" ht="14.25" customHeight="1">
      <c r="C872" s="140" t="n"/>
    </row>
    <row r="873" ht="14.25" customHeight="1">
      <c r="C873" s="140" t="n"/>
    </row>
    <row r="874" ht="14.25" customHeight="1">
      <c r="C874" s="140" t="n"/>
    </row>
    <row r="875" ht="14.25" customHeight="1">
      <c r="C875" s="140" t="n"/>
    </row>
    <row r="876" ht="14.25" customHeight="1">
      <c r="C876" s="140" t="n"/>
    </row>
    <row r="877" ht="14.25" customHeight="1">
      <c r="C877" s="140" t="n"/>
    </row>
    <row r="878" ht="14.25" customHeight="1">
      <c r="C878" s="140" t="n"/>
    </row>
    <row r="879" ht="14.25" customHeight="1">
      <c r="C879" s="140" t="n"/>
    </row>
    <row r="880" ht="14.25" customHeight="1">
      <c r="C880" s="140" t="n"/>
    </row>
    <row r="881" ht="14.25" customHeight="1">
      <c r="C881" s="140" t="n"/>
    </row>
    <row r="882" ht="14.25" customHeight="1">
      <c r="C882" s="140" t="n"/>
    </row>
    <row r="883" ht="14.25" customHeight="1">
      <c r="C883" s="140" t="n"/>
    </row>
    <row r="884" ht="14.25" customHeight="1">
      <c r="C884" s="140" t="n"/>
    </row>
    <row r="885" ht="14.25" customHeight="1">
      <c r="C885" s="140" t="n"/>
    </row>
    <row r="886" ht="14.25" customHeight="1">
      <c r="C886" s="140" t="n"/>
    </row>
    <row r="887" ht="14.25" customHeight="1">
      <c r="C887" s="140" t="n"/>
    </row>
    <row r="888" ht="14.25" customHeight="1">
      <c r="C888" s="140" t="n"/>
    </row>
    <row r="889" ht="14.25" customHeight="1">
      <c r="C889" s="140" t="n"/>
    </row>
    <row r="890" ht="14.25" customHeight="1">
      <c r="C890" s="140" t="n"/>
    </row>
    <row r="891" ht="14.25" customHeight="1">
      <c r="C891" s="140" t="n"/>
    </row>
    <row r="892" ht="14.25" customHeight="1">
      <c r="C892" s="140" t="n"/>
    </row>
    <row r="893" ht="14.25" customHeight="1">
      <c r="C893" s="140" t="n"/>
    </row>
    <row r="894" ht="14.25" customHeight="1">
      <c r="C894" s="140" t="n"/>
    </row>
    <row r="895" ht="14.25" customHeight="1">
      <c r="C895" s="140" t="n"/>
    </row>
    <row r="896" ht="14.25" customHeight="1">
      <c r="C896" s="140" t="n"/>
    </row>
    <row r="897" ht="14.25" customHeight="1">
      <c r="C897" s="140" t="n"/>
    </row>
    <row r="898" ht="14.25" customHeight="1">
      <c r="C898" s="140" t="n"/>
    </row>
    <row r="899" ht="14.25" customHeight="1">
      <c r="C899" s="140" t="n"/>
    </row>
    <row r="900" ht="14.25" customHeight="1">
      <c r="C900" s="140" t="n"/>
    </row>
    <row r="901" ht="14.25" customHeight="1">
      <c r="C901" s="140" t="n"/>
    </row>
    <row r="902" ht="14.25" customHeight="1">
      <c r="C902" s="140" t="n"/>
    </row>
    <row r="903" ht="14.25" customHeight="1">
      <c r="C903" s="140" t="n"/>
    </row>
    <row r="904" ht="14.25" customHeight="1">
      <c r="C904" s="140" t="n"/>
    </row>
    <row r="905" ht="14.25" customHeight="1">
      <c r="C905" s="140" t="n"/>
    </row>
    <row r="906" ht="14.25" customHeight="1">
      <c r="C906" s="140" t="n"/>
    </row>
    <row r="907" ht="14.25" customHeight="1">
      <c r="C907" s="140" t="n"/>
    </row>
    <row r="908" ht="14.25" customHeight="1">
      <c r="C908" s="140" t="n"/>
    </row>
    <row r="909" ht="14.25" customHeight="1">
      <c r="C909" s="140" t="n"/>
    </row>
    <row r="910" ht="14.25" customHeight="1">
      <c r="C910" s="140" t="n"/>
    </row>
    <row r="911" ht="14.25" customHeight="1">
      <c r="C911" s="140" t="n"/>
    </row>
    <row r="912" ht="14.25" customHeight="1">
      <c r="C912" s="140" t="n"/>
    </row>
    <row r="913" ht="14.25" customHeight="1">
      <c r="C913" s="140" t="n"/>
    </row>
    <row r="914" ht="14.25" customHeight="1">
      <c r="C914" s="140" t="n"/>
    </row>
    <row r="915" ht="14.25" customHeight="1">
      <c r="C915" s="140" t="n"/>
    </row>
    <row r="916" ht="14.25" customHeight="1">
      <c r="C916" s="140" t="n"/>
    </row>
    <row r="917" ht="14.25" customHeight="1">
      <c r="C917" s="140" t="n"/>
    </row>
    <row r="918" ht="14.25" customHeight="1">
      <c r="C918" s="140" t="n"/>
    </row>
    <row r="919" ht="14.25" customHeight="1">
      <c r="C919" s="140" t="n"/>
    </row>
    <row r="920" ht="14.25" customHeight="1">
      <c r="C920" s="140" t="n"/>
    </row>
    <row r="921" ht="14.25" customHeight="1">
      <c r="C921" s="140" t="n"/>
    </row>
    <row r="922" ht="14.25" customHeight="1">
      <c r="C922" s="140" t="n"/>
    </row>
    <row r="923" ht="14.25" customHeight="1">
      <c r="C923" s="140" t="n"/>
    </row>
    <row r="924" ht="14.25" customHeight="1">
      <c r="C924" s="140" t="n"/>
    </row>
    <row r="925" ht="14.25" customHeight="1">
      <c r="C925" s="140" t="n"/>
    </row>
    <row r="926" ht="14.25" customHeight="1">
      <c r="C926" s="140" t="n"/>
    </row>
    <row r="927" ht="14.25" customHeight="1">
      <c r="C927" s="140" t="n"/>
    </row>
    <row r="928" ht="14.25" customHeight="1">
      <c r="C928" s="140" t="n"/>
    </row>
    <row r="929" ht="14.25" customHeight="1">
      <c r="C929" s="140" t="n"/>
    </row>
    <row r="930" ht="14.25" customHeight="1">
      <c r="C930" s="140" t="n"/>
    </row>
    <row r="931" ht="14.25" customHeight="1">
      <c r="C931" s="140" t="n"/>
    </row>
    <row r="932" ht="14.25" customHeight="1">
      <c r="C932" s="140" t="n"/>
    </row>
    <row r="933" ht="14.25" customHeight="1">
      <c r="C933" s="140" t="n"/>
    </row>
    <row r="934" ht="14.25" customHeight="1">
      <c r="C934" s="140" t="n"/>
    </row>
    <row r="935" ht="14.25" customHeight="1">
      <c r="C935" s="140" t="n"/>
    </row>
    <row r="936" ht="14.25" customHeight="1">
      <c r="C936" s="140" t="n"/>
    </row>
    <row r="937" ht="14.25" customHeight="1">
      <c r="C937" s="140" t="n"/>
    </row>
    <row r="938" ht="14.25" customHeight="1">
      <c r="C938" s="140" t="n"/>
    </row>
    <row r="939" ht="14.25" customHeight="1">
      <c r="C939" s="140" t="n"/>
    </row>
    <row r="940" ht="14.25" customHeight="1">
      <c r="C940" s="140" t="n"/>
    </row>
    <row r="941" ht="14.25" customHeight="1">
      <c r="C941" s="140" t="n"/>
    </row>
    <row r="942" ht="14.25" customHeight="1">
      <c r="C942" s="140" t="n"/>
    </row>
    <row r="943" ht="14.25" customHeight="1">
      <c r="C943" s="140" t="n"/>
    </row>
    <row r="944" ht="14.25" customHeight="1">
      <c r="C944" s="140" t="n"/>
    </row>
    <row r="945" ht="14.25" customHeight="1">
      <c r="C945" s="140" t="n"/>
    </row>
    <row r="946" ht="14.25" customHeight="1">
      <c r="C946" s="140" t="n"/>
    </row>
    <row r="947" ht="14.25" customHeight="1">
      <c r="C947" s="140" t="n"/>
    </row>
    <row r="948" ht="14.25" customHeight="1">
      <c r="C948" s="140" t="n"/>
    </row>
    <row r="949" ht="14.25" customHeight="1">
      <c r="C949" s="140" t="n"/>
    </row>
    <row r="950" ht="14.25" customHeight="1">
      <c r="C950" s="140" t="n"/>
    </row>
    <row r="951" ht="14.25" customHeight="1">
      <c r="C951" s="140" t="n"/>
    </row>
    <row r="952" ht="14.25" customHeight="1">
      <c r="C952" s="140" t="n"/>
    </row>
    <row r="953" ht="14.25" customHeight="1">
      <c r="C953" s="140" t="n"/>
    </row>
    <row r="954" ht="14.25" customHeight="1">
      <c r="C954" s="140" t="n"/>
    </row>
    <row r="955" ht="14.25" customHeight="1">
      <c r="C955" s="140" t="n"/>
    </row>
    <row r="956" ht="14.25" customHeight="1">
      <c r="C956" s="140" t="n"/>
    </row>
    <row r="957" ht="14.25" customHeight="1">
      <c r="C957" s="140" t="n"/>
    </row>
    <row r="958" ht="14.25" customHeight="1">
      <c r="C958" s="140" t="n"/>
    </row>
    <row r="959" ht="14.25" customHeight="1">
      <c r="C959" s="140" t="n"/>
    </row>
    <row r="960" ht="14.25" customHeight="1">
      <c r="C960" s="140" t="n"/>
    </row>
    <row r="961" ht="14.25" customHeight="1">
      <c r="C961" s="140" t="n"/>
    </row>
    <row r="962" ht="14.25" customHeight="1">
      <c r="C962" s="140" t="n"/>
    </row>
    <row r="963" ht="14.25" customHeight="1">
      <c r="C963" s="140" t="n"/>
    </row>
    <row r="964" ht="14.25" customHeight="1">
      <c r="C964" s="140" t="n"/>
    </row>
    <row r="965" ht="14.25" customHeight="1">
      <c r="C965" s="140" t="n"/>
    </row>
    <row r="966" ht="14.25" customHeight="1">
      <c r="C966" s="140" t="n"/>
    </row>
    <row r="967" ht="14.25" customHeight="1">
      <c r="C967" s="140" t="n"/>
    </row>
    <row r="968" ht="14.25" customHeight="1">
      <c r="C968" s="140" t="n"/>
    </row>
    <row r="969" ht="14.25" customHeight="1">
      <c r="C969" s="140" t="n"/>
    </row>
    <row r="970" ht="14.25" customHeight="1">
      <c r="C970" s="140" t="n"/>
    </row>
    <row r="971" ht="14.25" customHeight="1">
      <c r="C971" s="140" t="n"/>
    </row>
    <row r="972" ht="14.25" customHeight="1">
      <c r="C972" s="140" t="n"/>
    </row>
    <row r="973" ht="14.25" customHeight="1">
      <c r="C973" s="140" t="n"/>
    </row>
    <row r="974" ht="14.25" customHeight="1">
      <c r="C974" s="140" t="n"/>
    </row>
    <row r="975" ht="14.25" customHeight="1">
      <c r="C975" s="140" t="n"/>
    </row>
    <row r="976" ht="14.25" customHeight="1">
      <c r="C976" s="140" t="n"/>
    </row>
    <row r="977" ht="14.25" customHeight="1">
      <c r="C977" s="140" t="n"/>
    </row>
    <row r="978" ht="14.25" customHeight="1">
      <c r="C978" s="140" t="n"/>
    </row>
    <row r="979" ht="14.25" customHeight="1">
      <c r="C979" s="140" t="n"/>
    </row>
    <row r="980" ht="14.25" customHeight="1">
      <c r="C980" s="140" t="n"/>
    </row>
    <row r="981" ht="14.25" customHeight="1">
      <c r="C981" s="140" t="n"/>
    </row>
    <row r="982" ht="14.25" customHeight="1">
      <c r="C982" s="140" t="n"/>
    </row>
    <row r="983" ht="14.25" customHeight="1">
      <c r="C983" s="140" t="n"/>
    </row>
    <row r="984" ht="14.25" customHeight="1">
      <c r="C984" s="140" t="n"/>
    </row>
    <row r="985" ht="14.25" customHeight="1">
      <c r="C985" s="140" t="n"/>
    </row>
    <row r="986" ht="14.25" customHeight="1">
      <c r="C986" s="140" t="n"/>
    </row>
    <row r="987" ht="14.25" customHeight="1">
      <c r="C987" s="140" t="n"/>
    </row>
    <row r="988" ht="14.25" customHeight="1">
      <c r="C988" s="140" t="n"/>
    </row>
    <row r="989" ht="14.25" customHeight="1">
      <c r="C989" s="140" t="n"/>
    </row>
    <row r="990" ht="14.25" customHeight="1">
      <c r="C990" s="140" t="n"/>
    </row>
    <row r="991" ht="14.25" customHeight="1">
      <c r="C991" s="140" t="n"/>
    </row>
    <row r="992" ht="14.25" customHeight="1">
      <c r="C992" s="140" t="n"/>
    </row>
    <row r="993" ht="14.25" customHeight="1">
      <c r="C993" s="140" t="n"/>
    </row>
    <row r="994" ht="14.25" customHeight="1">
      <c r="C994" s="140" t="n"/>
    </row>
    <row r="995" ht="14.25" customHeight="1">
      <c r="C995" s="140" t="n"/>
    </row>
    <row r="996" ht="14.25" customHeight="1">
      <c r="C996" s="140" t="n"/>
    </row>
    <row r="997" ht="14.25" customHeight="1">
      <c r="C997" s="140" t="n"/>
    </row>
    <row r="998" ht="14.25" customHeight="1">
      <c r="C998" s="140" t="n"/>
    </row>
    <row r="999" ht="14.25" customHeight="1">
      <c r="C999" s="140" t="n"/>
    </row>
    <row r="1000" ht="14.25" customHeight="1">
      <c r="C1000" s="140" t="n"/>
    </row>
  </sheetData>
  <mergeCells count="1">
    <mergeCell ref="B9:E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Romain Pouzou</dc:creator>
  <dcterms:created xsi:type="dcterms:W3CDTF">2020-04-23T16:46:16Z</dcterms:created>
  <dcterms:modified xsi:type="dcterms:W3CDTF">2026-06-10T20:58:25Z</dcterms:modified>
  <cp:lastModifiedBy>Romain Pouzou</cp:lastModifiedBy>
</cp:coreProperties>
</file>