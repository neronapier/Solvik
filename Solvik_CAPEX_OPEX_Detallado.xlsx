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EX" sheetId="1" state="visible" r:id="rId1"/>
    <sheet name="OPEX" sheetId="2" state="visible" r:id="rId2"/>
    <sheet name="Fichas técnicas y prec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b val="1"/>
      <color rgb="0014532D"/>
      <sz val="15"/>
    </font>
    <font>
      <i val="1"/>
      <color rgb="00777777"/>
      <sz val="9"/>
    </font>
    <font>
      <b val="1"/>
      <color rgb="00FFFFFF"/>
    </font>
    <font>
      <b val="1"/>
    </font>
    <font>
      <b val="1"/>
      <color rgb="0014532D"/>
      <sz val="11"/>
    </font>
    <font>
      <color rgb="001155CC"/>
      <sz val="9"/>
      <u val="single"/>
    </font>
  </fonts>
  <fills count="6">
    <fill>
      <patternFill/>
    </fill>
    <fill>
      <patternFill patternType="gray125"/>
    </fill>
    <fill>
      <patternFill patternType="solid">
        <fgColor rgb="002E6850"/>
      </patternFill>
    </fill>
    <fill>
      <patternFill patternType="solid">
        <fgColor rgb="00F1E9D2"/>
      </patternFill>
    </fill>
    <fill>
      <patternFill patternType="solid">
        <fgColor rgb="00E3EEE7"/>
      </patternFill>
    </fill>
    <fill>
      <patternFill patternType="solid">
        <fgColor rgb="00D6B2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0" fontId="0" fillId="3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5" fillId="0" borderId="0" pivotButton="0" quotePrefix="0" xfId="0"/>
    <xf numFmtId="0" fontId="4" fillId="0" borderId="0" pivotButton="0" quotePrefix="0" xfId="0"/>
    <xf numFmtId="9" fontId="0" fillId="0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5" borderId="1" pivotButton="0" quotePrefix="0" xfId="0"/>
    <xf numFmtId="164" fontId="4" fillId="5" borderId="1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pgienergy.mx/blog/posts/precios-paneles-solares-mexico-2025-e706a95a17a2/" TargetMode="External" Id="rId1" /><Relationship Type="http://schemas.openxmlformats.org/officeDocument/2006/relationships/hyperlink" Target="https://listado.mercadolibre.com.mx/inversor-growatt-5000" TargetMode="External" Id="rId2" /><Relationship Type="http://schemas.openxmlformats.org/officeDocument/2006/relationships/hyperlink" Target="https://enertik.com/mx/tienda/fotovoltaica/sistemas-de-montaje-para-paneles-solares/con-riel-para-superficies-planas/riel-para-montaje-de-panel-solar-4800mm/" TargetMode="External" Id="rId3" /><Relationship Type="http://schemas.openxmlformats.org/officeDocument/2006/relationships/hyperlink" Target="https://enertik.com/mx/categoria/fotovoltaica/sistemas-de-montaje-para-paneles-solares/" TargetMode="External" Id="rId4" /><Relationship Type="http://schemas.openxmlformats.org/officeDocument/2006/relationships/hyperlink" Target="https://www.teknosolar.com/cable-solar-fotovoltaico-de-6mm2-con-conectores-mc4-macho-y-hembra-10-metros/" TargetMode="External" Id="rId5" /><Relationship Type="http://schemas.openxmlformats.org/officeDocument/2006/relationships/hyperlink" Target="https://www.mercantilelectrico.com/conector-mc4-macho-para-panel-fotovoltaico-cable-25-6mm2-30a-1500vdc-mc4-15k-pv-p.html" TargetMode="External" Id="rId6" /><Relationship Type="http://schemas.openxmlformats.org/officeDocument/2006/relationships/hyperlink" Target="https://acehardware.com.mx/collections/centros-de-carga-e-interruptores-termomagneticos" TargetMode="External" Id="rId7" /><Relationship Type="http://schemas.openxmlformats.org/officeDocument/2006/relationships/hyperlink" Target="https://www.conermex.com.mx/on-grid/conector-cable-herr.html" TargetMode="External" Id="rId8" /><Relationship Type="http://schemas.openxmlformats.org/officeDocument/2006/relationships/hyperlink" Target="https://enertik.com/mx/categoria/fotovoltaica/sistemas-de-montaje-para-paneles-solares/" TargetMode="External" Id="rId9" /><Relationship Type="http://schemas.openxmlformats.org/officeDocument/2006/relationships/hyperlink" Target="https://tarifasdeluz.mx/autoconsumo/componentes/medidor-bidireccional" TargetMode="External" Id="rId10" /><Relationship Type="http://schemas.openxmlformats.org/officeDocument/2006/relationships/hyperlink" Target="https://www.calentadoresecology.com/producto/calentador-solar-de-alta-presion-de-20-tubos-5-6-personas-200-lts/" TargetMode="External" Id="rId11" /><Relationship Type="http://schemas.openxmlformats.org/officeDocument/2006/relationships/hyperlink" Target="https://kalorsol.com/precio-de-calentador-solar-en-cdmx-2025-guia-kalorsol/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2" customWidth="1" min="5" max="5"/>
    <col width="13" customWidth="1" min="6" max="6"/>
    <col width="16" customWidth="1" min="7" max="7"/>
  </cols>
  <sheetData>
    <row r="1">
      <c r="A1" s="1" t="inlineStr">
        <is>
          <t>CAPEX — Inversión en activos fijos · Solvik (MVP)</t>
        </is>
      </c>
    </row>
    <row r="2">
      <c r="A2" s="2" t="inlineStr">
        <is>
          <t>Todas las cifras en PESOS MEXICANOS (MXN), sin IVA. Depreciación lineal mensual = Valor / (vida útil años × 12).</t>
        </is>
      </c>
    </row>
    <row r="4">
      <c r="A4" s="3" t="inlineStr">
        <is>
          <t>#</t>
        </is>
      </c>
      <c r="B4" s="3" t="inlineStr">
        <is>
          <t>Categoría</t>
        </is>
      </c>
      <c r="C4" s="3" t="inlineStr">
        <is>
          <t>Concepto / Especificación</t>
        </is>
      </c>
      <c r="D4" s="3" t="inlineStr">
        <is>
          <t>Valor adq. (sin IVA)</t>
        </is>
      </c>
      <c r="E4" s="3" t="inlineStr">
        <is>
          <t>Vida útil (años)</t>
        </is>
      </c>
      <c r="F4" s="3" t="inlineStr">
        <is>
          <t>Vida útil (meses)</t>
        </is>
      </c>
      <c r="G4" s="3" t="inlineStr">
        <is>
          <t>Depreciación / mes</t>
        </is>
      </c>
    </row>
    <row r="5">
      <c r="A5" s="4" t="n">
        <v>1</v>
      </c>
      <c r="B5" s="5" t="inlineStr">
        <is>
          <t>Vehículos</t>
        </is>
      </c>
      <c r="C5" s="6" t="inlineStr">
        <is>
          <t>Camioneta/van de instalación seminueva (Nissan NV350 / RAM ProMaster, caja cerrada)</t>
        </is>
      </c>
      <c r="D5" s="7" t="n">
        <v>420000</v>
      </c>
      <c r="E5" s="4" t="n">
        <v>4</v>
      </c>
      <c r="F5" s="4">
        <f>E5*12</f>
        <v/>
      </c>
      <c r="G5" s="7">
        <f>IF(F5&gt;0,D5/F5,0)</f>
        <v/>
      </c>
    </row>
    <row r="6">
      <c r="A6" s="4" t="n">
        <v>2</v>
      </c>
      <c r="B6" s="5" t="inlineStr">
        <is>
          <t>Vehículos</t>
        </is>
      </c>
      <c r="C6" s="6" t="inlineStr">
        <is>
          <t>Remolque para transporte de paneles (capacidad 750 kg)</t>
        </is>
      </c>
      <c r="D6" s="7" t="n">
        <v>60000</v>
      </c>
      <c r="E6" s="4" t="n">
        <v>5</v>
      </c>
      <c r="F6" s="4">
        <f>E6*12</f>
        <v/>
      </c>
      <c r="G6" s="7">
        <f>IF(F6&gt;0,D6/F6,0)</f>
        <v/>
      </c>
    </row>
    <row r="7">
      <c r="A7" s="4" t="n">
        <v>3</v>
      </c>
      <c r="B7" s="5" t="inlineStr">
        <is>
          <t>Herramienta</t>
        </is>
      </c>
      <c r="C7" s="6" t="inlineStr">
        <is>
          <t>Kit de herramienta eléctrica (rotomartillo, atornilladores, esmeril, sierra)</t>
        </is>
      </c>
      <c r="D7" s="7" t="n">
        <v>45000</v>
      </c>
      <c r="E7" s="4" t="n">
        <v>4</v>
      </c>
      <c r="F7" s="4">
        <f>E7*12</f>
        <v/>
      </c>
      <c r="G7" s="7">
        <f>IF(F7&gt;0,D7/F7,0)</f>
        <v/>
      </c>
    </row>
    <row r="8">
      <c r="A8" s="4" t="n">
        <v>4</v>
      </c>
      <c r="B8" s="5" t="inlineStr">
        <is>
          <t>Herramienta</t>
        </is>
      </c>
      <c r="C8" s="6" t="inlineStr">
        <is>
          <t>Herramienta manual e instrumentos de medición (multímetro, pinza amp., megóhmetro, cámara termográfica)</t>
        </is>
      </c>
      <c r="D8" s="7" t="n">
        <v>38000</v>
      </c>
      <c r="E8" s="4" t="n">
        <v>4</v>
      </c>
      <c r="F8" s="4">
        <f>E8*12</f>
        <v/>
      </c>
      <c r="G8" s="7">
        <f>IF(F8&gt;0,D8/F8,0)</f>
        <v/>
      </c>
    </row>
    <row r="9">
      <c r="A9" s="4" t="n">
        <v>5</v>
      </c>
      <c r="B9" s="5" t="inlineStr">
        <is>
          <t>Herramienta</t>
        </is>
      </c>
      <c r="C9" s="6" t="inlineStr">
        <is>
          <t>Equipo de seguridad en altura (arneses, líneas de vida, EPP NOM-009-STPS)</t>
        </is>
      </c>
      <c r="D9" s="7" t="n">
        <v>35000</v>
      </c>
      <c r="E9" s="4" t="n">
        <v>3</v>
      </c>
      <c r="F9" s="4">
        <f>E9*12</f>
        <v/>
      </c>
      <c r="G9" s="7">
        <f>IF(F9&gt;0,D9/F9,0)</f>
        <v/>
      </c>
    </row>
    <row r="10">
      <c r="A10" s="4" t="n">
        <v>6</v>
      </c>
      <c r="B10" s="5" t="inlineStr">
        <is>
          <t>Herramienta</t>
        </is>
      </c>
      <c r="C10" s="6" t="inlineStr">
        <is>
          <t>Andamios y escaleras de fibra de vidrio</t>
        </is>
      </c>
      <c r="D10" s="7" t="n">
        <v>28000</v>
      </c>
      <c r="E10" s="4" t="n">
        <v>5</v>
      </c>
      <c r="F10" s="4">
        <f>E10*12</f>
        <v/>
      </c>
      <c r="G10" s="7">
        <f>IF(F10&gt;0,D10/F10,0)</f>
        <v/>
      </c>
    </row>
    <row r="11">
      <c r="A11" s="4" t="n">
        <v>7</v>
      </c>
      <c r="B11" s="5" t="inlineStr">
        <is>
          <t>Herramienta</t>
        </is>
      </c>
      <c r="C11" s="6" t="inlineStr">
        <is>
          <t>Estación de crimpado y conectorización solar (engarzadora MC4, pelacables)</t>
        </is>
      </c>
      <c r="D11" s="7" t="n">
        <v>18000</v>
      </c>
      <c r="E11" s="4" t="n">
        <v>5</v>
      </c>
      <c r="F11" s="4">
        <f>E11*12</f>
        <v/>
      </c>
      <c r="G11" s="7">
        <f>IF(F11&gt;0,D11/F11,0)</f>
        <v/>
      </c>
    </row>
    <row r="12">
      <c r="A12" s="4" t="n">
        <v>8</v>
      </c>
      <c r="B12" s="5" t="inlineStr">
        <is>
          <t>Cómputo</t>
        </is>
      </c>
      <c r="C12" s="6" t="inlineStr">
        <is>
          <t>Laptops y estación de diseño/CAD (×4)</t>
        </is>
      </c>
      <c r="D12" s="7" t="n">
        <v>80000</v>
      </c>
      <c r="E12" s="4" t="n">
        <v>3</v>
      </c>
      <c r="F12" s="4">
        <f>E12*12</f>
        <v/>
      </c>
      <c r="G12" s="7">
        <f>IF(F12&gt;0,D12/F12,0)</f>
        <v/>
      </c>
    </row>
    <row r="13">
      <c r="A13" s="4" t="n">
        <v>9</v>
      </c>
      <c r="B13" s="5" t="inlineStr">
        <is>
          <t>Cómputo</t>
        </is>
      </c>
      <c r="C13" s="6" t="inlineStr">
        <is>
          <t>Servidor/NAS y sistema de respaldo</t>
        </is>
      </c>
      <c r="D13" s="7" t="n">
        <v>30000</v>
      </c>
      <c r="E13" s="4" t="n">
        <v>4</v>
      </c>
      <c r="F13" s="4">
        <f>E13*12</f>
        <v/>
      </c>
      <c r="G13" s="7">
        <f>IF(F13&gt;0,D13/F13,0)</f>
        <v/>
      </c>
    </row>
    <row r="14">
      <c r="A14" s="4" t="n">
        <v>10</v>
      </c>
      <c r="B14" s="5" t="inlineStr">
        <is>
          <t>Cómputo</t>
        </is>
      </c>
      <c r="C14" s="6" t="inlineStr">
        <is>
          <t>Smartphones y tablets de campo (×3)</t>
        </is>
      </c>
      <c r="D14" s="7" t="n">
        <v>24000</v>
      </c>
      <c r="E14" s="4" t="n">
        <v>2</v>
      </c>
      <c r="F14" s="4">
        <f>E14*12</f>
        <v/>
      </c>
      <c r="G14" s="7">
        <f>IF(F14&gt;0,D14/F14,0)</f>
        <v/>
      </c>
    </row>
    <row r="15">
      <c r="A15" s="4" t="n">
        <v>11</v>
      </c>
      <c r="B15" s="5" t="inlineStr">
        <is>
          <t>Cómputo</t>
        </is>
      </c>
      <c r="C15" s="6" t="inlineStr">
        <is>
          <t>Impresora/multifuncional</t>
        </is>
      </c>
      <c r="D15" s="7" t="n">
        <v>8000</v>
      </c>
      <c r="E15" s="4" t="n">
        <v>4</v>
      </c>
      <c r="F15" s="4">
        <f>E15*12</f>
        <v/>
      </c>
      <c r="G15" s="7">
        <f>IF(F15&gt;0,D15/F15,0)</f>
        <v/>
      </c>
    </row>
    <row r="16">
      <c r="A16" s="4" t="n">
        <v>12</v>
      </c>
      <c r="B16" s="5" t="inlineStr">
        <is>
          <t>Mobiliario</t>
        </is>
      </c>
      <c r="C16" s="6" t="inlineStr">
        <is>
          <t>Mobiliario de oficina (escritorios, sillas, sala de juntas)</t>
        </is>
      </c>
      <c r="D16" s="7" t="n">
        <v>55000</v>
      </c>
      <c r="E16" s="4" t="n">
        <v>10</v>
      </c>
      <c r="F16" s="4">
        <f>E16*12</f>
        <v/>
      </c>
      <c r="G16" s="7">
        <f>IF(F16&gt;0,D16/F16,0)</f>
        <v/>
      </c>
    </row>
    <row r="17">
      <c r="A17" s="4" t="n">
        <v>13</v>
      </c>
      <c r="B17" s="5" t="inlineStr">
        <is>
          <t>Mobiliario</t>
        </is>
      </c>
      <c r="C17" s="6" t="inlineStr">
        <is>
          <t>Anaqueles y racks de bodega (carga pesada)</t>
        </is>
      </c>
      <c r="D17" s="7" t="n">
        <v>40000</v>
      </c>
      <c r="E17" s="4" t="n">
        <v>10</v>
      </c>
      <c r="F17" s="4">
        <f>E17*12</f>
        <v/>
      </c>
      <c r="G17" s="7">
        <f>IF(F17&gt;0,D17/F17,0)</f>
        <v/>
      </c>
    </row>
    <row r="18">
      <c r="A18" s="4" t="n">
        <v>14</v>
      </c>
      <c r="B18" s="5" t="inlineStr">
        <is>
          <t>Mobiliario</t>
        </is>
      </c>
      <c r="C18" s="6" t="inlineStr">
        <is>
          <t>Adecuación de bodega y oficina (obra menor + instalación eléctrica)</t>
        </is>
      </c>
      <c r="D18" s="7" t="n">
        <v>70000</v>
      </c>
      <c r="E18" s="4" t="n">
        <v>5</v>
      </c>
      <c r="F18" s="4">
        <f>E18*12</f>
        <v/>
      </c>
      <c r="G18" s="7">
        <f>IF(F18&gt;0,D18/F18,0)</f>
        <v/>
      </c>
    </row>
    <row r="19">
      <c r="A19" s="4" t="n">
        <v>15</v>
      </c>
      <c r="B19" s="5" t="inlineStr">
        <is>
          <t>Mobiliario</t>
        </is>
      </c>
      <c r="C19" s="6" t="inlineStr">
        <is>
          <t>Clima / minisplit oficina y bodega</t>
        </is>
      </c>
      <c r="D19" s="7" t="n">
        <v>22000</v>
      </c>
      <c r="E19" s="4" t="n">
        <v>10</v>
      </c>
      <c r="F19" s="4">
        <f>E19*12</f>
        <v/>
      </c>
      <c r="G19" s="7">
        <f>IF(F19&gt;0,D19/F19,0)</f>
        <v/>
      </c>
    </row>
    <row r="20">
      <c r="A20" s="4" t="n">
        <v>16</v>
      </c>
      <c r="B20" s="5" t="inlineStr">
        <is>
          <t>Demostración</t>
        </is>
      </c>
      <c r="C20" s="6" t="inlineStr">
        <is>
          <t>Sistema demostrativo de showroom (panel + inversor + batería)</t>
        </is>
      </c>
      <c r="D20" s="7" t="n">
        <v>50000</v>
      </c>
      <c r="E20" s="4" t="n">
        <v>5</v>
      </c>
      <c r="F20" s="4">
        <f>E20*12</f>
        <v/>
      </c>
      <c r="G20" s="7">
        <f>IF(F20&gt;0,D20/F20,0)</f>
        <v/>
      </c>
    </row>
    <row r="21">
      <c r="A21" s="4" t="n">
        <v>17</v>
      </c>
      <c r="B21" s="5" t="inlineStr">
        <is>
          <t>Intangibles SW</t>
        </is>
      </c>
      <c r="C21" s="6" t="inlineStr">
        <is>
          <t>Desarrollo de App móvil iOS/Android (MVP)</t>
        </is>
      </c>
      <c r="D21" s="7" t="n">
        <v>360000</v>
      </c>
      <c r="E21" s="4" t="n">
        <v>3</v>
      </c>
      <c r="F21" s="4">
        <f>E21*12</f>
        <v/>
      </c>
      <c r="G21" s="7">
        <f>IF(F21&gt;0,D21/F21,0)</f>
        <v/>
      </c>
    </row>
    <row r="22">
      <c r="A22" s="4" t="n">
        <v>18</v>
      </c>
      <c r="B22" s="5" t="inlineStr">
        <is>
          <t>Intangibles SW</t>
        </is>
      </c>
      <c r="C22" s="6" t="inlineStr">
        <is>
          <t>Plataforma de monitoreo + módulo IA (backend y dashboards)</t>
        </is>
      </c>
      <c r="D22" s="7" t="n">
        <v>260000</v>
      </c>
      <c r="E22" s="4" t="n">
        <v>3</v>
      </c>
      <c r="F22" s="4">
        <f>E22*12</f>
        <v/>
      </c>
      <c r="G22" s="7">
        <f>IF(F22&gt;0,D22/F22,0)</f>
        <v/>
      </c>
    </row>
    <row r="23">
      <c r="A23" s="4" t="n">
        <v>19</v>
      </c>
      <c r="B23" s="5" t="inlineStr">
        <is>
          <t>Intangibles SW</t>
        </is>
      </c>
      <c r="C23" s="6" t="inlineStr">
        <is>
          <t>Implementación CRM/ERP (setup e integración)</t>
        </is>
      </c>
      <c r="D23" s="7" t="n">
        <v>55000</v>
      </c>
      <c r="E23" s="4" t="n">
        <v>3</v>
      </c>
      <c r="F23" s="4">
        <f>E23*12</f>
        <v/>
      </c>
      <c r="G23" s="7">
        <f>IF(F23&gt;0,D23/F23,0)</f>
        <v/>
      </c>
    </row>
    <row r="24">
      <c r="A24" s="4" t="n">
        <v>20</v>
      </c>
      <c r="B24" s="5" t="inlineStr">
        <is>
          <t>Intangibles SW</t>
        </is>
      </c>
      <c r="C24" s="6" t="inlineStr">
        <is>
          <t>Sitio web y e-commerce</t>
        </is>
      </c>
      <c r="D24" s="7" t="n">
        <v>35000</v>
      </c>
      <c r="E24" s="4" t="n">
        <v>3</v>
      </c>
      <c r="F24" s="4">
        <f>E24*12</f>
        <v/>
      </c>
      <c r="G24" s="7">
        <f>IF(F24&gt;0,D24/F24,0)</f>
        <v/>
      </c>
    </row>
    <row r="25">
      <c r="A25" s="4" t="n">
        <v>21</v>
      </c>
      <c r="B25" s="5" t="inlineStr">
        <is>
          <t>Preoperativos</t>
        </is>
      </c>
      <c r="C25" s="6" t="inlineStr">
        <is>
          <t>Registro de marca (IMPI) e identidad visual</t>
        </is>
      </c>
      <c r="D25" s="7" t="n">
        <v>40000</v>
      </c>
      <c r="E25" s="4" t="n">
        <v>5</v>
      </c>
      <c r="F25" s="4">
        <f>E25*12</f>
        <v/>
      </c>
      <c r="G25" s="7">
        <f>IF(F25&gt;0,D25/F25,0)</f>
        <v/>
      </c>
    </row>
    <row r="26">
      <c r="A26" s="4" t="n">
        <v>22</v>
      </c>
      <c r="B26" s="5" t="inlineStr">
        <is>
          <t>Preoperativos</t>
        </is>
      </c>
      <c r="C26" s="6" t="inlineStr">
        <is>
          <t>Constitución legal (SAPI), notario y permisos iniciales</t>
        </is>
      </c>
      <c r="D26" s="7" t="n">
        <v>38000</v>
      </c>
      <c r="E26" s="4" t="n">
        <v>5</v>
      </c>
      <c r="F26" s="4">
        <f>E26*12</f>
        <v/>
      </c>
      <c r="G26" s="7">
        <f>IF(F26&gt;0,D26/F26,0)</f>
        <v/>
      </c>
    </row>
    <row r="27">
      <c r="A27" s="4" t="n">
        <v>23</v>
      </c>
      <c r="B27" s="5" t="inlineStr">
        <is>
          <t>Preoperativos</t>
        </is>
      </c>
      <c r="C27" s="6" t="inlineStr">
        <is>
          <t>Certificaciones (NOM-001-SEDE, capacitación CONUEE/CRE)</t>
        </is>
      </c>
      <c r="D27" s="7" t="n">
        <v>32000</v>
      </c>
      <c r="E27" s="4" t="n">
        <v>3</v>
      </c>
      <c r="F27" s="4">
        <f>E27*12</f>
        <v/>
      </c>
      <c r="G27" s="7">
        <f>IF(F27&gt;0,D27/F27,0)</f>
        <v/>
      </c>
    </row>
    <row r="28">
      <c r="A28" s="8" t="n"/>
      <c r="B28" s="8" t="n"/>
      <c r="C28" s="9" t="inlineStr">
        <is>
          <t>TOTAL CAPEX</t>
        </is>
      </c>
      <c r="D28" s="10">
        <f>SUM(D5:D27)</f>
        <v/>
      </c>
      <c r="E28" s="8" t="n"/>
      <c r="F28" s="8" t="n"/>
      <c r="G28" s="10">
        <f>SUM(G5:G27)</f>
        <v/>
      </c>
    </row>
    <row r="31">
      <c r="B31" s="11" t="inlineStr">
        <is>
          <t>Resumen por categoría</t>
        </is>
      </c>
    </row>
    <row r="32">
      <c r="A32" s="3" t="inlineStr"/>
      <c r="B32" s="3" t="inlineStr">
        <is>
          <t>Categoría</t>
        </is>
      </c>
      <c r="C32" s="3" t="inlineStr">
        <is>
          <t>Inversión</t>
        </is>
      </c>
    </row>
    <row r="33">
      <c r="B33" s="5" t="inlineStr">
        <is>
          <t>Vehículos</t>
        </is>
      </c>
      <c r="C33" s="7" t="n">
        <v>480000</v>
      </c>
    </row>
    <row r="34">
      <c r="B34" s="5" t="inlineStr">
        <is>
          <t>Herramienta</t>
        </is>
      </c>
      <c r="C34" s="7" t="n">
        <v>164000</v>
      </c>
    </row>
    <row r="35">
      <c r="B35" s="5" t="inlineStr">
        <is>
          <t>Cómputo</t>
        </is>
      </c>
      <c r="C35" s="7" t="n">
        <v>142000</v>
      </c>
    </row>
    <row r="36">
      <c r="B36" s="5" t="inlineStr">
        <is>
          <t>Mobiliario</t>
        </is>
      </c>
      <c r="C36" s="7" t="n">
        <v>187000</v>
      </c>
    </row>
    <row r="37">
      <c r="B37" s="5" t="inlineStr">
        <is>
          <t>Demostración</t>
        </is>
      </c>
      <c r="C37" s="7" t="n">
        <v>50000</v>
      </c>
    </row>
    <row r="38">
      <c r="B38" s="5" t="inlineStr">
        <is>
          <t>Intangibles SW</t>
        </is>
      </c>
      <c r="C38" s="7" t="n">
        <v>710000</v>
      </c>
    </row>
    <row r="39">
      <c r="B39" s="5" t="inlineStr">
        <is>
          <t>Preoperativos</t>
        </is>
      </c>
      <c r="C39" s="7" t="n">
        <v>110000</v>
      </c>
    </row>
    <row r="42">
      <c r="B42" s="11" t="inlineStr">
        <is>
          <t>Parámetros de vida útil — México (tasa máx. ISR, art. 33-34 LISR)</t>
        </is>
      </c>
    </row>
    <row r="43">
      <c r="B43" s="5" t="inlineStr">
        <is>
          <t>Construcciones / adecuaciones</t>
        </is>
      </c>
      <c r="C43" s="5" t="inlineStr">
        <is>
          <t>5% · 20 años</t>
        </is>
      </c>
    </row>
    <row r="44">
      <c r="B44" s="5" t="inlineStr">
        <is>
          <t>Mobiliario y equipo de oficina</t>
        </is>
      </c>
      <c r="C44" s="5" t="inlineStr">
        <is>
          <t>10% · 10 años</t>
        </is>
      </c>
    </row>
    <row r="45">
      <c r="B45" s="5" t="inlineStr">
        <is>
          <t>Equipo de cómputo</t>
        </is>
      </c>
      <c r="C45" s="5" t="inlineStr">
        <is>
          <t>30% · 3.3 años</t>
        </is>
      </c>
    </row>
    <row r="46">
      <c r="B46" s="5" t="inlineStr">
        <is>
          <t>Automóviles y vehículos</t>
        </is>
      </c>
      <c r="C46" s="5" t="inlineStr">
        <is>
          <t>25% · 4 años</t>
        </is>
      </c>
    </row>
    <row r="47">
      <c r="B47" s="5" t="inlineStr">
        <is>
          <t>Maquinaria y equipo (general)</t>
        </is>
      </c>
      <c r="C47" s="5" t="inlineStr">
        <is>
          <t>10% · 10 años</t>
        </is>
      </c>
    </row>
    <row r="48">
      <c r="B48" s="5" t="inlineStr">
        <is>
          <t>Herramienta, dados y troqueles</t>
        </is>
      </c>
      <c r="C48" s="5" t="inlineStr">
        <is>
          <t>35% · ≈3 años</t>
        </is>
      </c>
    </row>
    <row r="49">
      <c r="B49" s="5" t="inlineStr">
        <is>
          <t>Equipo de comunicación telefónica</t>
        </is>
      </c>
      <c r="C49" s="5" t="inlineStr">
        <is>
          <t>25% · 4 años</t>
        </is>
      </c>
    </row>
    <row r="50">
      <c r="B50" s="5" t="inlineStr">
        <is>
          <t>Gastos diferidos / intangibles</t>
        </is>
      </c>
      <c r="C50" s="5" t="inlineStr">
        <is>
          <t>15% · ≈6.7 años</t>
        </is>
      </c>
    </row>
    <row r="51">
      <c r="B51" s="5" t="inlineStr">
        <is>
          <t>Gastos preoperativos</t>
        </is>
      </c>
      <c r="C51" s="5" t="inlineStr">
        <is>
          <t>10% · 10 años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" customWidth="1" min="1" max="1"/>
    <col width="58" customWidth="1" min="2" max="2"/>
    <col width="16" customWidth="1" min="3" max="3"/>
    <col width="10" customWidth="1" min="4" max="4"/>
    <col width="16" customWidth="1" min="5" max="5"/>
  </cols>
  <sheetData>
    <row r="1">
      <c r="A1" s="1" t="inlineStr">
        <is>
          <t>OPEX — Gastos operativos mensuales · Solvik (MVP)</t>
        </is>
      </c>
    </row>
    <row r="2">
      <c r="A2" s="2" t="inlineStr">
        <is>
          <t>Todas las cifras en PESOS MEXICANOS (MXN). Precios de material directo: ver hoja «Fichas técnicas y precios».</t>
        </is>
      </c>
    </row>
    <row r="4">
      <c r="B4" s="12" t="inlineStr">
        <is>
          <t>Porcentaje de prestaciones de ley (IMSS, aguinaldo, vacaciones, prima vac.):</t>
        </is>
      </c>
      <c r="C4" s="13" t="n">
        <v>0.35</v>
      </c>
    </row>
    <row r="6">
      <c r="B6" s="14" t="inlineStr">
        <is>
          <t>A) SUELDOS Y CARGAS SOCIALES (mensual)</t>
        </is>
      </c>
      <c r="C6" s="15" t="inlineStr"/>
    </row>
    <row r="7">
      <c r="B7" s="16" t="inlineStr">
        <is>
          <t>Concepto</t>
        </is>
      </c>
      <c r="C7" s="16" t="inlineStr">
        <is>
          <t>Monto / mes</t>
        </is>
      </c>
    </row>
    <row r="8">
      <c r="B8" s="5" t="inlineStr">
        <is>
          <t>Director General (CEO)</t>
        </is>
      </c>
      <c r="C8" s="7" t="n">
        <v>35000</v>
      </c>
    </row>
    <row r="9">
      <c r="B9" s="5" t="inlineStr">
        <is>
          <t>Líder Comercial / Ventas</t>
        </is>
      </c>
      <c r="C9" s="7" t="n">
        <v>22000</v>
      </c>
    </row>
    <row r="10">
      <c r="B10" s="5" t="inlineStr">
        <is>
          <t>Ingeniero Solar / Diseño y Operaciones</t>
        </is>
      </c>
      <c r="C10" s="7" t="n">
        <v>25000</v>
      </c>
    </row>
    <row r="11">
      <c r="B11" s="5" t="inlineStr">
        <is>
          <t>Instalador líder (jefe de cuadrilla)</t>
        </is>
      </c>
      <c r="C11" s="7" t="n">
        <v>14000</v>
      </c>
    </row>
    <row r="12">
      <c r="B12" s="5" t="inlineStr">
        <is>
          <t>Ayudante de instalación</t>
        </is>
      </c>
      <c r="C12" s="7" t="n">
        <v>9000</v>
      </c>
    </row>
    <row r="13">
      <c r="B13" s="5" t="inlineStr">
        <is>
          <t>Analista Financiero / Administración</t>
        </is>
      </c>
      <c r="C13" s="7" t="n">
        <v>16000</v>
      </c>
    </row>
    <row r="14">
      <c r="B14" s="5" t="inlineStr">
        <is>
          <t>Growth / Marketing</t>
        </is>
      </c>
      <c r="C14" s="7" t="n">
        <v>18000</v>
      </c>
    </row>
    <row r="15">
      <c r="B15" s="5" t="inlineStr">
        <is>
          <t>Servicio al cliente / Postventa (medio tiempo)</t>
        </is>
      </c>
      <c r="C15" s="7" t="n">
        <v>8000</v>
      </c>
    </row>
    <row r="16">
      <c r="B16" s="9" t="inlineStr">
        <is>
          <t>Subtotal sueldos</t>
        </is>
      </c>
      <c r="C16" s="10">
        <f>SUM(C8:C15)</f>
        <v/>
      </c>
    </row>
    <row r="17">
      <c r="B17" s="5" t="inlineStr">
        <is>
          <t>Prestaciones de ley (35%)</t>
        </is>
      </c>
      <c r="C17" s="7">
        <f>C16*$C$4</f>
        <v/>
      </c>
    </row>
    <row r="18">
      <c r="B18" s="9" t="inlineStr">
        <is>
          <t>TOTAL NÓMINA + CARGAS</t>
        </is>
      </c>
      <c r="C18" s="10">
        <f>C16+C17</f>
        <v/>
      </c>
    </row>
    <row r="20">
      <c r="B20" s="14" t="inlineStr">
        <is>
          <t>B) COSTOS INDIRECTOS DE OPERACIÓN — CIF (mensual)</t>
        </is>
      </c>
      <c r="C20" s="15" t="inlineStr"/>
    </row>
    <row r="21">
      <c r="B21" s="16" t="inlineStr">
        <is>
          <t>Concepto</t>
        </is>
      </c>
      <c r="C21" s="16" t="inlineStr">
        <is>
          <t>Monto / mes</t>
        </is>
      </c>
    </row>
    <row r="22">
      <c r="B22" s="5" t="inlineStr">
        <is>
          <t>Renta de oficina</t>
        </is>
      </c>
      <c r="C22" s="7" t="n">
        <v>12000</v>
      </c>
    </row>
    <row r="23">
      <c r="B23" s="5" t="inlineStr">
        <is>
          <t>Renta de bodega/almacén</t>
        </is>
      </c>
      <c r="C23" s="7" t="n">
        <v>8000</v>
      </c>
    </row>
    <row r="24">
      <c r="B24" s="5" t="inlineStr">
        <is>
          <t>Energía eléctrica</t>
        </is>
      </c>
      <c r="C24" s="7" t="n">
        <v>2500</v>
      </c>
    </row>
    <row r="25">
      <c r="B25" s="5" t="inlineStr">
        <is>
          <t>Agua</t>
        </is>
      </c>
      <c r="C25" s="7" t="n">
        <v>600</v>
      </c>
    </row>
    <row r="26">
      <c r="B26" s="5" t="inlineStr">
        <is>
          <t>Internet y telefonía</t>
        </is>
      </c>
      <c r="C26" s="7" t="n">
        <v>2500</v>
      </c>
    </row>
    <row r="27">
      <c r="B27" s="5" t="inlineStr">
        <is>
          <t>Software CRM (HubSpot/Pipedrive)</t>
        </is>
      </c>
      <c r="C27" s="7" t="n">
        <v>2800</v>
      </c>
    </row>
    <row r="28">
      <c r="B28" s="5" t="inlineStr">
        <is>
          <t>Software ERP/contabilidad (CONTPAQi)</t>
        </is>
      </c>
      <c r="C28" s="7" t="n">
        <v>1800</v>
      </c>
    </row>
    <row r="29">
      <c r="B29" s="5" t="inlineStr">
        <is>
          <t>Software de monitoreo/IA (cloud + APIs)</t>
        </is>
      </c>
      <c r="C29" s="7" t="n">
        <v>4500</v>
      </c>
    </row>
    <row r="30">
      <c r="B30" s="5" t="inlineStr">
        <is>
          <t>Combustible (van)</t>
        </is>
      </c>
      <c r="C30" s="7" t="n">
        <v>6000</v>
      </c>
    </row>
    <row r="31">
      <c r="B31" s="5" t="inlineStr">
        <is>
          <t>Mantenimiento vehicular</t>
        </is>
      </c>
      <c r="C31" s="7" t="n">
        <v>2000</v>
      </c>
    </row>
    <row r="32">
      <c r="B32" s="5" t="inlineStr">
        <is>
          <t>Casetas y peajes</t>
        </is>
      </c>
      <c r="C32" s="7" t="n">
        <v>1500</v>
      </c>
    </row>
    <row r="33">
      <c r="B33" s="5" t="inlineStr">
        <is>
          <t>Herramienta menor y consumibles (silicón, cinchos, tornillería)</t>
        </is>
      </c>
      <c r="C33" s="7" t="n">
        <v>3000</v>
      </c>
    </row>
    <row r="34">
      <c r="B34" s="5" t="inlineStr">
        <is>
          <t>EPP y uniformes</t>
        </is>
      </c>
      <c r="C34" s="7" t="n">
        <v>1200</v>
      </c>
    </row>
    <row r="35">
      <c r="B35" s="5" t="inlineStr">
        <is>
          <t>Seguro de responsabilidad civil + equipo</t>
        </is>
      </c>
      <c r="C35" s="7" t="n">
        <v>3500</v>
      </c>
    </row>
    <row r="36">
      <c r="B36" s="5" t="inlineStr">
        <is>
          <t>Seguro de vehículo</t>
        </is>
      </c>
      <c r="C36" s="7" t="n">
        <v>1800</v>
      </c>
    </row>
    <row r="37">
      <c r="B37" s="5" t="inlineStr">
        <is>
          <t>Honorarios contables</t>
        </is>
      </c>
      <c r="C37" s="7" t="n">
        <v>4500</v>
      </c>
    </row>
    <row r="38">
      <c r="B38" s="5" t="inlineStr">
        <is>
          <t>Honorarios legales</t>
        </is>
      </c>
      <c r="C38" s="7" t="n">
        <v>2500</v>
      </c>
    </row>
    <row r="39">
      <c r="B39" s="5" t="inlineStr">
        <is>
          <t>Papelería y artículos de oficina</t>
        </is>
      </c>
      <c r="C39" s="7" t="n">
        <v>800</v>
      </c>
    </row>
    <row r="40">
      <c r="B40" s="5" t="inlineStr">
        <is>
          <t>Servicio de limpieza</t>
        </is>
      </c>
      <c r="C40" s="7" t="n">
        <v>1500</v>
      </c>
    </row>
    <row r="41">
      <c r="B41" s="5" t="inlineStr">
        <is>
          <t>Comisiones bancarias / TPV</t>
        </is>
      </c>
      <c r="C41" s="7" t="n">
        <v>2000</v>
      </c>
    </row>
    <row r="42">
      <c r="B42" s="5" t="inlineStr">
        <is>
          <t>Capacitación y certificación continua</t>
        </is>
      </c>
      <c r="C42" s="7" t="n">
        <v>2000</v>
      </c>
    </row>
    <row r="43">
      <c r="B43" s="9" t="inlineStr">
        <is>
          <t>TOTAL CIF (sin depreciación)</t>
        </is>
      </c>
      <c r="C43" s="10">
        <f>SUM(C22:C42)</f>
        <v/>
      </c>
    </row>
    <row r="44">
      <c r="B44" s="5" t="inlineStr">
        <is>
          <t>(+) Depreciación/amortización (de hoja CAPEX)</t>
        </is>
      </c>
      <c r="C44" s="7">
        <f>CAPEX!G28</f>
        <v/>
      </c>
    </row>
    <row r="46">
      <c r="B46" s="14" t="inlineStr">
        <is>
          <t>C) MATERIAL DIRECTO POR PRODUCTO — costo unitario (BOM)</t>
        </is>
      </c>
      <c r="C46" s="15" t="inlineStr"/>
    </row>
    <row r="47">
      <c r="B47" s="11" t="inlineStr">
        <is>
          <t>C.1 · Sistema Fotovoltaico Residencial 4 kWp (microcrédito y contado comparten BOM)</t>
        </is>
      </c>
    </row>
    <row r="48">
      <c r="B48" s="16" t="inlineStr">
        <is>
          <t>Componente</t>
        </is>
      </c>
      <c r="C48" s="16" t="inlineStr">
        <is>
          <t>Costo / sistema</t>
        </is>
      </c>
    </row>
    <row r="49">
      <c r="B49" s="5" t="inlineStr">
        <is>
          <t>Panel solar 550 Wp monocristalino PERC (×8)</t>
        </is>
      </c>
      <c r="C49" s="7" t="n">
        <v>24000</v>
      </c>
    </row>
    <row r="50">
      <c r="B50" s="5" t="inlineStr">
        <is>
          <t>Inversor string 5 kW monofásico (Growatt MIN 5000)</t>
        </is>
      </c>
      <c r="C50" s="7" t="n">
        <v>16500</v>
      </c>
    </row>
    <row r="51">
      <c r="B51" s="5" t="inlineStr">
        <is>
          <t>Riel de montaje aluminio 6005-T6 4.8 m (×5)</t>
        </is>
      </c>
      <c r="C51" s="7" t="n">
        <v>3900</v>
      </c>
    </row>
    <row r="52">
      <c r="B52" s="5" t="inlineStr">
        <is>
          <t>Abrazaderas mid/end clamps + grapas</t>
        </is>
      </c>
      <c r="C52" s="7" t="n">
        <v>1200</v>
      </c>
    </row>
    <row r="53">
      <c r="B53" s="5" t="inlineStr">
        <is>
          <t>Tornillería y soportes de fijación a techo</t>
        </is>
      </c>
      <c r="C53" s="7" t="n">
        <v>1400</v>
      </c>
    </row>
    <row r="54">
      <c r="B54" s="5" t="inlineStr">
        <is>
          <t>Cable solar FV 6 mm² / 10 AWG (40 m)</t>
        </is>
      </c>
      <c r="C54" s="7" t="n">
        <v>1280</v>
      </c>
    </row>
    <row r="55">
      <c r="B55" s="5" t="inlineStr">
        <is>
          <t>Conectores MC4 macho/hembra (10 pares)</t>
        </is>
      </c>
      <c r="C55" s="7" t="n">
        <v>600</v>
      </c>
    </row>
    <row r="56">
      <c r="B56" s="5" t="inlineStr">
        <is>
          <t>Cable AC THW-LS + tubo conduit</t>
        </is>
      </c>
      <c r="C56" s="7" t="n">
        <v>900</v>
      </c>
    </row>
    <row r="57">
      <c r="B57" s="5" t="inlineStr">
        <is>
          <t>Centro de carga + interruptores termomagnéticos</t>
        </is>
      </c>
      <c r="C57" s="7" t="n">
        <v>1400</v>
      </c>
    </row>
    <row r="58">
      <c r="B58" s="5" t="inlineStr">
        <is>
          <t>Supresor de picos (SPD) CC/CA Tipo II</t>
        </is>
      </c>
      <c r="C58" s="7" t="n">
        <v>1200</v>
      </c>
    </row>
    <row r="59">
      <c r="B59" s="5" t="inlineStr">
        <is>
          <t>Seccionador / desconectador CC 1000 V</t>
        </is>
      </c>
      <c r="C59" s="7" t="n">
        <v>900</v>
      </c>
    </row>
    <row r="60">
      <c r="B60" s="5" t="inlineStr">
        <is>
          <t>Sistema de tierra física (varilla + cable desnudo)</t>
        </is>
      </c>
      <c r="C60" s="7" t="n">
        <v>800</v>
      </c>
    </row>
    <row r="61">
      <c r="B61" s="5" t="inlineStr">
        <is>
          <t>Medidor bidireccional (interconexión CFE)</t>
        </is>
      </c>
      <c r="C61" s="7" t="n">
        <v>3000</v>
      </c>
    </row>
    <row r="62">
      <c r="B62" s="5" t="inlineStr">
        <is>
          <t>Mano de obra de instalación (cuadrilla, 1–2 días)</t>
        </is>
      </c>
      <c r="C62" s="7" t="n">
        <v>7000</v>
      </c>
    </row>
    <row r="63">
      <c r="B63" s="5" t="inlineStr">
        <is>
          <t>Trámites de interconexión CFE / gestoría</t>
        </is>
      </c>
      <c r="C63" s="7" t="n">
        <v>2500</v>
      </c>
    </row>
    <row r="64">
      <c r="B64" s="5" t="inlineStr">
        <is>
          <t>Flete y maniobras</t>
        </is>
      </c>
      <c r="C64" s="7" t="n">
        <v>2000</v>
      </c>
    </row>
    <row r="65">
      <c r="B65" s="9" t="inlineStr">
        <is>
          <t>COSTO DIRECTO UNITARIO — Sistema FV</t>
        </is>
      </c>
      <c r="C65" s="10">
        <f>SUM(C49:C64)</f>
        <v/>
      </c>
    </row>
    <row r="67">
      <c r="B67" s="11" t="inlineStr">
        <is>
          <t>C.2 · Calentador Solar 200 L (20 tubos al vacío, alta presión)</t>
        </is>
      </c>
    </row>
    <row r="68">
      <c r="B68" s="16" t="inlineStr">
        <is>
          <t>Componente</t>
        </is>
      </c>
      <c r="C68" s="16" t="inlineStr">
        <is>
          <t>Costo / equipo</t>
        </is>
      </c>
    </row>
    <row r="69">
      <c r="B69" s="5" t="inlineStr">
        <is>
          <t>Termotanque solar 200 L · 20 tubos al vacío · SS304 alta presión</t>
        </is>
      </c>
      <c r="C69" s="7" t="n">
        <v>5800</v>
      </c>
    </row>
    <row r="70">
      <c r="B70" s="5" t="inlineStr">
        <is>
          <t>Estructura / soporte galvanizado</t>
        </is>
      </c>
      <c r="C70" s="7" t="n">
        <v>600</v>
      </c>
    </row>
    <row r="71">
      <c r="B71" s="5" t="inlineStr">
        <is>
          <t>Tubería CPVC y conexiones</t>
        </is>
      </c>
      <c r="C71" s="7" t="n">
        <v>550</v>
      </c>
    </row>
    <row r="72">
      <c r="B72" s="5" t="inlineStr">
        <is>
          <t>Aislante térmico para tubería</t>
        </is>
      </c>
      <c r="C72" s="7" t="n">
        <v>200</v>
      </c>
    </row>
    <row r="73">
      <c r="B73" s="5" t="inlineStr">
        <is>
          <t>Válvulas y accesorios (check, alivio, mezcladora termostática)</t>
        </is>
      </c>
      <c r="C73" s="7" t="n">
        <v>400</v>
      </c>
    </row>
    <row r="74">
      <c r="B74" s="5" t="inlineStr">
        <is>
          <t>Mano de obra de instalación (medio día)</t>
        </is>
      </c>
      <c r="C74" s="7" t="n">
        <v>700</v>
      </c>
    </row>
    <row r="75">
      <c r="B75" s="5" t="inlineStr">
        <is>
          <t>Flete</t>
        </is>
      </c>
      <c r="C75" s="7" t="n">
        <v>250</v>
      </c>
    </row>
    <row r="76">
      <c r="B76" s="9" t="inlineStr">
        <is>
          <t>COSTO DIRECTO UNITARIO — Calentador Solar</t>
        </is>
      </c>
      <c r="C76" s="10">
        <f>SUM(C69:C75)</f>
        <v/>
      </c>
    </row>
    <row r="78">
      <c r="B78" s="17" t="inlineStr">
        <is>
          <t>RESUMEN — OPEX FIJO MENSUAL (nómina + CIF + depreciación)</t>
        </is>
      </c>
      <c r="C78" s="18">
        <f>C18+C43+C44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4" customWidth="1" min="3" max="3"/>
    <col width="52" customWidth="1" min="4" max="4"/>
    <col width="14" customWidth="1" min="5" max="5"/>
    <col width="12" customWidth="1" min="6" max="6"/>
    <col width="26" customWidth="1" min="7" max="7"/>
  </cols>
  <sheetData>
    <row r="1">
      <c r="A1" s="1" t="inlineStr">
        <is>
          <t>Fichas técnicas y precios de referencia de materiales (mercado mexicano, jun-2026)</t>
        </is>
      </c>
    </row>
    <row r="2">
      <c r="A2" s="2" t="inlineStr">
        <is>
          <t>Precios de REFERENCIA en MXN (con IVA salvo nota), recabados de proveedores en línea. Confirmar con cotización formal antes de comprar. Fuentes citadas en la última columna.</t>
        </is>
      </c>
    </row>
    <row r="4">
      <c r="A4" s="3" t="inlineStr">
        <is>
          <t>#</t>
        </is>
      </c>
      <c r="B4" s="3" t="inlineStr">
        <is>
          <t>Material</t>
        </is>
      </c>
      <c r="C4" s="3" t="inlineStr">
        <is>
          <t>Marca / Modelo sugerido</t>
        </is>
      </c>
      <c r="D4" s="3" t="inlineStr">
        <is>
          <t>Especificaciones técnicas clave</t>
        </is>
      </c>
      <c r="E4" s="3" t="inlineStr">
        <is>
          <t>Precio ref. (MXN)</t>
        </is>
      </c>
      <c r="F4" s="3" t="inlineStr">
        <is>
          <t>Unidad</t>
        </is>
      </c>
      <c r="G4" s="3" t="inlineStr">
        <is>
          <t>Fuente consultada</t>
        </is>
      </c>
    </row>
    <row r="5">
      <c r="A5" s="4" t="n">
        <v>1</v>
      </c>
      <c r="B5" s="6" t="inlineStr">
        <is>
          <t>Panel solar fotovoltaico</t>
        </is>
      </c>
      <c r="C5" s="6" t="inlineStr">
        <is>
          <t>Jinko Tiger Pro JKM550M-72HL4-V / JA Solar 550W</t>
        </is>
      </c>
      <c r="D5" s="6" t="inlineStr">
        <is>
          <t>550 Wp, monocristalino PERC, 144 celdas (HC), efic. 21.3%, Voc 49.6 V, Isc 13.96 A, Vmp 41.2 V, Imp 13.35 A, 2384×1303×35 mm, ~28 kg, garantía 25 años producto / 30 años potencia lineal</t>
        </is>
      </c>
      <c r="E5" s="4" t="inlineStr">
        <is>
          <t>$2,461 – $3,291</t>
        </is>
      </c>
      <c r="F5" s="4" t="inlineStr">
        <is>
          <t>pieza</t>
        </is>
      </c>
      <c r="G5" s="19" t="inlineStr">
        <is>
          <t>PGI Energy; XLStore Exel Solar; Tienda Solar</t>
        </is>
      </c>
    </row>
    <row r="6">
      <c r="A6" s="4" t="n">
        <v>2</v>
      </c>
      <c r="B6" s="6" t="inlineStr">
        <is>
          <t>Inversor solar string</t>
        </is>
      </c>
      <c r="C6" s="6" t="inlineStr">
        <is>
          <t>Growatt MIN 5000TL-X / 5000TL-XH</t>
        </is>
      </c>
      <c r="D6" s="6" t="inlineStr">
        <is>
          <t>5 kW monofásico 220 V, 2 MPPT independientes, efic. máx 98.4% (EU 97.5%), monitoreo Wi-Fi, garantía 5 años (ampliable a 10)</t>
        </is>
      </c>
      <c r="E6" s="4" t="inlineStr">
        <is>
          <t>$15,000 – $18,000</t>
        </is>
      </c>
      <c r="F6" s="4" t="inlineStr">
        <is>
          <t>pieza</t>
        </is>
      </c>
      <c r="G6" s="19" t="inlineStr">
        <is>
          <t>MercadoLibre MX; Enertik; Vecosolar</t>
        </is>
      </c>
    </row>
    <row r="7">
      <c r="A7" s="4" t="n">
        <v>3</v>
      </c>
      <c r="B7" s="6" t="inlineStr">
        <is>
          <t>Riel de montaje</t>
        </is>
      </c>
      <c r="C7" s="6" t="inlineStr">
        <is>
          <t>Perfil aluminio 6005-T6 anodizado 4800 mm</t>
        </is>
      </c>
      <c r="D7" s="6" t="inlineStr">
        <is>
          <t>Aluminio estructural anodizado, apto para teja/lámina/superficie plana, carga viento 2400 Pa</t>
        </is>
      </c>
      <c r="E7" s="4" t="inlineStr">
        <is>
          <t>$700 – $900</t>
        </is>
      </c>
      <c r="F7" s="4" t="inlineStr">
        <is>
          <t>pieza</t>
        </is>
      </c>
      <c r="G7" s="19" t="inlineStr">
        <is>
          <t>Enertik México</t>
        </is>
      </c>
    </row>
    <row r="8">
      <c r="A8" s="4" t="n">
        <v>4</v>
      </c>
      <c r="B8" s="6" t="inlineStr">
        <is>
          <t>Abrazaderas / clamps</t>
        </is>
      </c>
      <c r="C8" s="6" t="inlineStr">
        <is>
          <t>Mid clamp + End clamp aluminio</t>
        </is>
      </c>
      <c r="D8" s="6" t="inlineStr">
        <is>
          <t>Sujeción de módulo a riel, aluminio + acero inox, ajuste 30–40 mm</t>
        </is>
      </c>
      <c r="E8" s="4" t="inlineStr">
        <is>
          <t>$35 – $60</t>
        </is>
      </c>
      <c r="F8" s="4" t="inlineStr">
        <is>
          <t>pieza</t>
        </is>
      </c>
      <c r="G8" s="19" t="inlineStr">
        <is>
          <t>Enertik; Conermex</t>
        </is>
      </c>
    </row>
    <row r="9">
      <c r="A9" s="4" t="n">
        <v>5</v>
      </c>
      <c r="B9" s="6" t="inlineStr">
        <is>
          <t>Cable solar FV</t>
        </is>
      </c>
      <c r="C9" s="6" t="inlineStr">
        <is>
          <t>Cable 6 mm² (10 AWG) rojo/negro</t>
        </is>
      </c>
      <c r="D9" s="6" t="inlineStr">
        <is>
          <t>Doble aislamiento XLPE, 1500 VDC, resistente UV/intemperie, -40 a 90 °C</t>
        </is>
      </c>
      <c r="E9" s="4" t="inlineStr">
        <is>
          <t>$28 – $40</t>
        </is>
      </c>
      <c r="F9" s="4" t="inlineStr">
        <is>
          <t>metro</t>
        </is>
      </c>
      <c r="G9" s="19" t="inlineStr">
        <is>
          <t>TeknoSolar; Coelectrix</t>
        </is>
      </c>
    </row>
    <row r="10">
      <c r="A10" s="4" t="n">
        <v>6</v>
      </c>
      <c r="B10" s="6" t="inlineStr">
        <is>
          <t>Conector MC4</t>
        </is>
      </c>
      <c r="C10" s="6" t="inlineStr">
        <is>
          <t>Conector MC4 macho/hembra</t>
        </is>
      </c>
      <c r="D10" s="6" t="inlineStr">
        <is>
          <t>30 A, 1000–1500 VDC, IP68, contacto de cobre estañado</t>
        </is>
      </c>
      <c r="E10" s="4" t="inlineStr">
        <is>
          <t>$200 – $870</t>
        </is>
      </c>
      <c r="F10" s="4" t="inlineStr">
        <is>
          <t>par</t>
        </is>
      </c>
      <c r="G10" s="19" t="inlineStr">
        <is>
          <t>Mercantil Eléctrico; Enertik</t>
        </is>
      </c>
    </row>
    <row r="11">
      <c r="A11" s="4" t="n">
        <v>7</v>
      </c>
      <c r="B11" s="6" t="inlineStr">
        <is>
          <t>Centro de carga + termomagnéticos</t>
        </is>
      </c>
      <c r="C11" s="6" t="inlineStr">
        <is>
          <t>IUSA / Eaton / Square D</t>
        </is>
      </c>
      <c r="D11" s="6" t="inlineStr">
        <is>
          <t>Centro de carga 2–8 circuitos + interruptores termomagnéticos 1–2 polos</t>
        </is>
      </c>
      <c r="E11" s="4" t="inlineStr">
        <is>
          <t>$129 – $405</t>
        </is>
      </c>
      <c r="F11" s="4" t="inlineStr">
        <is>
          <t>pieza</t>
        </is>
      </c>
      <c r="G11" s="19" t="inlineStr">
        <is>
          <t>Ace Hardware MX; Home Depot MX</t>
        </is>
      </c>
    </row>
    <row r="12">
      <c r="A12" s="4" t="n">
        <v>8</v>
      </c>
      <c r="B12" s="6" t="inlineStr">
        <is>
          <t>Supresor de picos (SPD)</t>
        </is>
      </c>
      <c r="C12" s="6" t="inlineStr">
        <is>
          <t>SPD Tipo II CC/CA</t>
        </is>
      </c>
      <c r="D12" s="6" t="inlineStr">
        <is>
          <t>Protección contra sobretensiones, 1000 VDC / 275 VAC, clase II</t>
        </is>
      </c>
      <c r="E12" s="4" t="inlineStr">
        <is>
          <t>$900 – $1,500</t>
        </is>
      </c>
      <c r="F12" s="4" t="inlineStr">
        <is>
          <t>pieza</t>
        </is>
      </c>
      <c r="G12" s="19" t="inlineStr">
        <is>
          <t>Conermex</t>
        </is>
      </c>
    </row>
    <row r="13">
      <c r="A13" s="4" t="n">
        <v>9</v>
      </c>
      <c r="B13" s="6" t="inlineStr">
        <is>
          <t>Seccionador CC</t>
        </is>
      </c>
      <c r="C13" s="6" t="inlineStr">
        <is>
          <t>Desconectador DC 1000 V</t>
        </is>
      </c>
      <c r="D13" s="6" t="inlineStr">
        <is>
          <t>Seccionador bajo carga, 1000 VDC, 2–4 polos</t>
        </is>
      </c>
      <c r="E13" s="4" t="inlineStr">
        <is>
          <t>$700 – $1,100</t>
        </is>
      </c>
      <c r="F13" s="4" t="inlineStr">
        <is>
          <t>pieza</t>
        </is>
      </c>
      <c r="G13" s="19" t="inlineStr">
        <is>
          <t>Enertik</t>
        </is>
      </c>
    </row>
    <row r="14">
      <c r="A14" s="4" t="n">
        <v>10</v>
      </c>
      <c r="B14" s="6" t="inlineStr">
        <is>
          <t>Medidor bidireccional</t>
        </is>
      </c>
      <c r="C14" s="6" t="inlineStr">
        <is>
          <t>Medidor de energía bidireccional</t>
        </is>
      </c>
      <c r="D14" s="6" t="inlineStr">
        <is>
          <t>Mide consumo e inyección a red CFE (Net Metering/Billing), monofásico</t>
        </is>
      </c>
      <c r="E14" s="4" t="inlineStr">
        <is>
          <t>$2,500 – $3,500</t>
        </is>
      </c>
      <c r="F14" s="4" t="inlineStr">
        <is>
          <t>pieza</t>
        </is>
      </c>
      <c r="G14" s="19" t="inlineStr">
        <is>
          <t>MercadoLibre MX; Zenergía</t>
        </is>
      </c>
    </row>
    <row r="15">
      <c r="A15" s="4" t="n">
        <v>11</v>
      </c>
      <c r="B15" s="6" t="inlineStr">
        <is>
          <t>Calentador solar 200 L</t>
        </is>
      </c>
      <c r="C15" s="6" t="inlineStr">
        <is>
          <t>Ecology / Tlaloc / Sunkissed (20 tubos)</t>
        </is>
      </c>
      <c r="D15" s="6" t="inlineStr">
        <is>
          <t>200 L, 20 tubos al vacío, tanque SS304, alta presión, 5–6 personas, soporte incluido</t>
        </is>
      </c>
      <c r="E15" s="4" t="inlineStr">
        <is>
          <t>$6,449 – $9,500</t>
        </is>
      </c>
      <c r="F15" s="4" t="inlineStr">
        <is>
          <t>equipo</t>
        </is>
      </c>
      <c r="G15" s="19" t="inlineStr">
        <is>
          <t>Ecology; Home Depot MX; LedsBeSolar; Kalorsol</t>
        </is>
      </c>
    </row>
    <row r="16">
      <c r="A16" s="4" t="n">
        <v>12</v>
      </c>
      <c r="B16" s="6" t="inlineStr">
        <is>
          <t>Tubería e hidráulica</t>
        </is>
      </c>
      <c r="C16" s="6" t="inlineStr">
        <is>
          <t>CPVC + conexiones + válvulas</t>
        </is>
      </c>
      <c r="D16" s="6" t="inlineStr">
        <is>
          <t>Tubería CPVC alta temperatura, válvula check, válvula de alivio, mezcladora termostática</t>
        </is>
      </c>
      <c r="E16" s="4" t="inlineStr">
        <is>
          <t>$900 – $1,600</t>
        </is>
      </c>
      <c r="F16" s="4" t="inlineStr">
        <is>
          <t>lote</t>
        </is>
      </c>
      <c r="G16" s="19" t="inlineStr">
        <is>
          <t>Material hidráulico (ferretería)</t>
        </is>
      </c>
    </row>
    <row r="17">
      <c r="A17" s="4" t="n">
        <v>13</v>
      </c>
      <c r="B17" s="6" t="inlineStr">
        <is>
          <t>Sistema de tierra física</t>
        </is>
      </c>
      <c r="C17" s="6" t="inlineStr">
        <is>
          <t>Varilla copperweld + cable desnudo</t>
        </is>
      </c>
      <c r="D17" s="6" t="inlineStr">
        <is>
          <t>Varilla 5/8" × 3 m, cable cobre desnudo, conector tipo barra</t>
        </is>
      </c>
      <c r="E17" s="4" t="inlineStr">
        <is>
          <t>$600 – $1,000</t>
        </is>
      </c>
      <c r="F17" s="4" t="inlineStr">
        <is>
          <t>lote</t>
        </is>
      </c>
      <c r="G17" s="6" t="inlineStr">
        <is>
          <t>Material eléctrico</t>
        </is>
      </c>
    </row>
    <row r="19">
      <c r="B19" s="2" t="inlineStr">
        <is>
          <t>Nota: el rango de precios refleja distintos proveedores/calidades. En el OPEX se usó un valor representativo dentro de cada rango. Mano de obra, trámites CFE y flete son servicios (sin ficha técnica).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2026-06-10T21:18:45Z</dcterms:created>
  <dcterms:modified xsi:type="dcterms:W3CDTF">2026-06-10T21:18:45Z</dcterms:modified>
</cp:coreProperties>
</file>